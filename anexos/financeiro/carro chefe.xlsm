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aldi\OneDrive\Área de Trabalho\"/>
    </mc:Choice>
  </mc:AlternateContent>
  <xr:revisionPtr revIDLastSave="0" documentId="13_ncr:1_{11324AC3-4F26-4159-9639-A631B3C329B8}" xr6:coauthVersionLast="47" xr6:coauthVersionMax="47" xr10:uidLastSave="{00000000-0000-0000-0000-000000000000}"/>
  <bookViews>
    <workbookView xWindow="-120" yWindow="-120" windowWidth="20730" windowHeight="11160" tabRatio="845" activeTab="1" xr2:uid="{EB409357-8C4C-4AC4-8C38-53CA26CF98AC}"/>
  </bookViews>
  <sheets>
    <sheet name="configurações" sheetId="2" r:id="rId1"/>
    <sheet name="ingredientes" sheetId="1" r:id="rId2"/>
    <sheet name="Embalamento" sheetId="16" r:id="rId3"/>
    <sheet name="Embalagens" sheetId="17" r:id="rId4"/>
    <sheet name="insumos" sheetId="3" r:id="rId5"/>
    <sheet name="Cadastro de Produtos" sheetId="5" r:id="rId6"/>
    <sheet name="Estoque" sheetId="9" r:id="rId7"/>
    <sheet name="Pedido" sheetId="13" r:id="rId8"/>
    <sheet name="Custos Fixos" sheetId="4" r:id="rId9"/>
    <sheet name="Despesas Variáveis" sheetId="6" r:id="rId10"/>
    <sheet name="Precificação" sheetId="7" r:id="rId11"/>
    <sheet name="simulação pós-vendas" sheetId="8" r:id="rId12"/>
    <sheet name="Compras" sheetId="11" r:id="rId13"/>
    <sheet name="Vendas" sheetId="10" r:id="rId14"/>
    <sheet name="Relatório" sheetId="14" r:id="rId15"/>
    <sheet name="Fluxo de Caixa" sheetId="15" r:id="rId16"/>
  </sheets>
  <functionGroups builtInGroupCount="19"/>
  <definedNames>
    <definedName name="ListaItensFicha">EMPILHARV(insumos[item],CaProdutos[Item])</definedName>
  </definedNames>
  <calcPr calcId="18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D27" i="1"/>
  <c r="G26" i="1"/>
  <c r="G27" i="1"/>
  <c r="H26" i="1"/>
  <c r="H27" i="1"/>
  <c r="G20" i="16"/>
  <c r="F20" i="16"/>
  <c r="G19" i="16"/>
  <c r="F19" i="16"/>
  <c r="G18" i="16"/>
  <c r="F18" i="16"/>
  <c r="G17" i="16"/>
  <c r="F17" i="16"/>
  <c r="G5" i="16"/>
  <c r="G6" i="16"/>
  <c r="G7" i="16"/>
  <c r="G8" i="16"/>
  <c r="G9" i="16"/>
  <c r="G10" i="16"/>
  <c r="G11" i="16"/>
  <c r="G12" i="16"/>
  <c r="G13" i="16"/>
  <c r="G14" i="16"/>
  <c r="G15" i="16"/>
  <c r="G16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D122" i="17"/>
  <c r="K121" i="17"/>
  <c r="J121" i="17"/>
  <c r="I121" i="17"/>
  <c r="H121" i="17"/>
  <c r="G121" i="17"/>
  <c r="K120" i="17"/>
  <c r="J120" i="17"/>
  <c r="I120" i="17"/>
  <c r="H120" i="17"/>
  <c r="G120" i="17"/>
  <c r="K119" i="17"/>
  <c r="J119" i="17"/>
  <c r="I119" i="17"/>
  <c r="H119" i="17"/>
  <c r="G119" i="17"/>
  <c r="K118" i="17"/>
  <c r="J118" i="17"/>
  <c r="I118" i="17"/>
  <c r="H118" i="17"/>
  <c r="G118" i="17"/>
  <c r="K117" i="17"/>
  <c r="J117" i="17"/>
  <c r="I117" i="17"/>
  <c r="H117" i="17"/>
  <c r="G117" i="17"/>
  <c r="K116" i="17"/>
  <c r="J116" i="17"/>
  <c r="I116" i="17"/>
  <c r="H116" i="17"/>
  <c r="G116" i="17"/>
  <c r="K115" i="17"/>
  <c r="J115" i="17"/>
  <c r="I115" i="17"/>
  <c r="H115" i="17"/>
  <c r="G115" i="17"/>
  <c r="K114" i="17"/>
  <c r="J114" i="17"/>
  <c r="I114" i="17"/>
  <c r="H114" i="17"/>
  <c r="G114" i="17"/>
  <c r="K113" i="17"/>
  <c r="J113" i="17"/>
  <c r="I113" i="17"/>
  <c r="H113" i="17"/>
  <c r="G113" i="17"/>
  <c r="K112" i="17"/>
  <c r="J112" i="17"/>
  <c r="I112" i="17"/>
  <c r="H112" i="17"/>
  <c r="G112" i="17"/>
  <c r="K111" i="17"/>
  <c r="J111" i="17"/>
  <c r="I111" i="17"/>
  <c r="H111" i="17"/>
  <c r="G111" i="17"/>
  <c r="K110" i="17"/>
  <c r="J110" i="17"/>
  <c r="I110" i="17"/>
  <c r="H110" i="17"/>
  <c r="G110" i="17"/>
  <c r="K109" i="17"/>
  <c r="J109" i="17"/>
  <c r="I109" i="17"/>
  <c r="H109" i="17"/>
  <c r="G109" i="17"/>
  <c r="K108" i="17"/>
  <c r="J108" i="17"/>
  <c r="I108" i="17"/>
  <c r="H108" i="17"/>
  <c r="G108" i="17"/>
  <c r="K107" i="17"/>
  <c r="J107" i="17"/>
  <c r="I107" i="17"/>
  <c r="H107" i="17"/>
  <c r="G107" i="17"/>
  <c r="K106" i="17"/>
  <c r="J106" i="17"/>
  <c r="I106" i="17"/>
  <c r="H106" i="17"/>
  <c r="G106" i="17"/>
  <c r="K105" i="17"/>
  <c r="J105" i="17"/>
  <c r="I105" i="17"/>
  <c r="H105" i="17"/>
  <c r="G105" i="17"/>
  <c r="K104" i="17"/>
  <c r="J104" i="17"/>
  <c r="I104" i="17"/>
  <c r="H104" i="17"/>
  <c r="G104" i="17"/>
  <c r="K103" i="17"/>
  <c r="J103" i="17"/>
  <c r="I103" i="17"/>
  <c r="H103" i="17"/>
  <c r="G103" i="17"/>
  <c r="K102" i="17"/>
  <c r="J102" i="17"/>
  <c r="I102" i="17"/>
  <c r="H102" i="17"/>
  <c r="G102" i="17"/>
  <c r="K101" i="17"/>
  <c r="J101" i="17"/>
  <c r="I101" i="17"/>
  <c r="H101" i="17"/>
  <c r="G101" i="17"/>
  <c r="K100" i="17"/>
  <c r="J100" i="17"/>
  <c r="I100" i="17"/>
  <c r="H100" i="17"/>
  <c r="G100" i="17"/>
  <c r="K99" i="17"/>
  <c r="J99" i="17"/>
  <c r="I99" i="17"/>
  <c r="H99" i="17"/>
  <c r="G99" i="17"/>
  <c r="K98" i="17"/>
  <c r="J98" i="17"/>
  <c r="I98" i="17"/>
  <c r="H98" i="17"/>
  <c r="G98" i="17"/>
  <c r="K97" i="17"/>
  <c r="J97" i="17"/>
  <c r="I97" i="17"/>
  <c r="H97" i="17"/>
  <c r="G97" i="17"/>
  <c r="K96" i="17"/>
  <c r="J96" i="17"/>
  <c r="I96" i="17"/>
  <c r="H96" i="17"/>
  <c r="G96" i="17"/>
  <c r="K95" i="17"/>
  <c r="J95" i="17"/>
  <c r="I95" i="17"/>
  <c r="H95" i="17"/>
  <c r="G95" i="17"/>
  <c r="K94" i="17"/>
  <c r="J94" i="17"/>
  <c r="I94" i="17"/>
  <c r="H94" i="17"/>
  <c r="G94" i="17"/>
  <c r="K93" i="17"/>
  <c r="J93" i="17"/>
  <c r="I93" i="17"/>
  <c r="H93" i="17"/>
  <c r="G93" i="17"/>
  <c r="K92" i="17"/>
  <c r="J92" i="17"/>
  <c r="I92" i="17"/>
  <c r="H92" i="17"/>
  <c r="G92" i="17"/>
  <c r="K91" i="17"/>
  <c r="J91" i="17"/>
  <c r="I91" i="17"/>
  <c r="H91" i="17"/>
  <c r="G91" i="17"/>
  <c r="K90" i="17"/>
  <c r="J90" i="17"/>
  <c r="I90" i="17"/>
  <c r="H90" i="17"/>
  <c r="G90" i="17"/>
  <c r="K89" i="17"/>
  <c r="J89" i="17"/>
  <c r="I89" i="17"/>
  <c r="H89" i="17"/>
  <c r="G89" i="17"/>
  <c r="K88" i="17"/>
  <c r="J88" i="17"/>
  <c r="I88" i="17"/>
  <c r="H88" i="17"/>
  <c r="G88" i="17"/>
  <c r="K87" i="17"/>
  <c r="J87" i="17"/>
  <c r="I87" i="17"/>
  <c r="H87" i="17"/>
  <c r="G87" i="17"/>
  <c r="K86" i="17"/>
  <c r="J86" i="17"/>
  <c r="I86" i="17"/>
  <c r="H86" i="17"/>
  <c r="G86" i="17"/>
  <c r="K85" i="17"/>
  <c r="J85" i="17"/>
  <c r="I85" i="17"/>
  <c r="H85" i="17"/>
  <c r="G85" i="17"/>
  <c r="K84" i="17"/>
  <c r="J84" i="17"/>
  <c r="I84" i="17"/>
  <c r="H84" i="17"/>
  <c r="G84" i="17"/>
  <c r="K83" i="17"/>
  <c r="J83" i="17"/>
  <c r="I83" i="17"/>
  <c r="H83" i="17"/>
  <c r="G83" i="17"/>
  <c r="K82" i="17"/>
  <c r="J82" i="17"/>
  <c r="I82" i="17"/>
  <c r="H82" i="17"/>
  <c r="G82" i="17"/>
  <c r="K81" i="17"/>
  <c r="J81" i="17"/>
  <c r="I81" i="17"/>
  <c r="H81" i="17"/>
  <c r="G81" i="17"/>
  <c r="K80" i="17"/>
  <c r="J80" i="17"/>
  <c r="I80" i="17"/>
  <c r="H80" i="17"/>
  <c r="G80" i="17"/>
  <c r="K79" i="17"/>
  <c r="J79" i="17"/>
  <c r="I79" i="17"/>
  <c r="H79" i="17"/>
  <c r="G79" i="17"/>
  <c r="K78" i="17"/>
  <c r="J78" i="17"/>
  <c r="I78" i="17"/>
  <c r="H78" i="17"/>
  <c r="G78" i="17"/>
  <c r="K77" i="17"/>
  <c r="J77" i="17"/>
  <c r="I77" i="17"/>
  <c r="H77" i="17"/>
  <c r="G77" i="17"/>
  <c r="K76" i="17"/>
  <c r="J76" i="17"/>
  <c r="I76" i="17"/>
  <c r="H76" i="17"/>
  <c r="G76" i="17"/>
  <c r="K75" i="17"/>
  <c r="J75" i="17"/>
  <c r="I75" i="17"/>
  <c r="H75" i="17"/>
  <c r="G75" i="17"/>
  <c r="K74" i="17"/>
  <c r="J74" i="17"/>
  <c r="I74" i="17"/>
  <c r="H74" i="17"/>
  <c r="G74" i="17"/>
  <c r="K73" i="17"/>
  <c r="J73" i="17"/>
  <c r="I73" i="17"/>
  <c r="H73" i="17"/>
  <c r="G73" i="17"/>
  <c r="K72" i="17"/>
  <c r="J72" i="17"/>
  <c r="I72" i="17"/>
  <c r="H72" i="17"/>
  <c r="G72" i="17"/>
  <c r="K71" i="17"/>
  <c r="J71" i="17"/>
  <c r="I71" i="17"/>
  <c r="H71" i="17"/>
  <c r="G71" i="17"/>
  <c r="K70" i="17"/>
  <c r="J70" i="17"/>
  <c r="I70" i="17"/>
  <c r="H70" i="17"/>
  <c r="G70" i="17"/>
  <c r="K69" i="17"/>
  <c r="J69" i="17"/>
  <c r="I69" i="17"/>
  <c r="H69" i="17"/>
  <c r="G69" i="17"/>
  <c r="K68" i="17"/>
  <c r="J68" i="17"/>
  <c r="I68" i="17"/>
  <c r="H68" i="17"/>
  <c r="G68" i="17"/>
  <c r="K67" i="17"/>
  <c r="J67" i="17"/>
  <c r="I67" i="17"/>
  <c r="H67" i="17"/>
  <c r="G67" i="17"/>
  <c r="K66" i="17"/>
  <c r="J66" i="17"/>
  <c r="I66" i="17"/>
  <c r="H66" i="17"/>
  <c r="G66" i="17"/>
  <c r="K65" i="17"/>
  <c r="J65" i="17"/>
  <c r="I65" i="17"/>
  <c r="H65" i="17"/>
  <c r="G65" i="17"/>
  <c r="K64" i="17"/>
  <c r="J64" i="17"/>
  <c r="I64" i="17"/>
  <c r="H64" i="17"/>
  <c r="G64" i="17"/>
  <c r="K63" i="17"/>
  <c r="J63" i="17"/>
  <c r="I63" i="17"/>
  <c r="H63" i="17"/>
  <c r="G63" i="17"/>
  <c r="K62" i="17"/>
  <c r="J62" i="17"/>
  <c r="I62" i="17"/>
  <c r="H62" i="17"/>
  <c r="G62" i="17"/>
  <c r="K61" i="17"/>
  <c r="J61" i="17"/>
  <c r="I61" i="17"/>
  <c r="H61" i="17"/>
  <c r="G61" i="17"/>
  <c r="K60" i="17"/>
  <c r="J60" i="17"/>
  <c r="I60" i="17"/>
  <c r="H60" i="17"/>
  <c r="G60" i="17"/>
  <c r="K59" i="17"/>
  <c r="J59" i="17"/>
  <c r="I59" i="17"/>
  <c r="H59" i="17"/>
  <c r="G59" i="17"/>
  <c r="K58" i="17"/>
  <c r="J58" i="17"/>
  <c r="I58" i="17"/>
  <c r="H58" i="17"/>
  <c r="G58" i="17"/>
  <c r="K57" i="17"/>
  <c r="J57" i="17"/>
  <c r="I57" i="17"/>
  <c r="H57" i="17"/>
  <c r="G57" i="17"/>
  <c r="K56" i="17"/>
  <c r="J56" i="17"/>
  <c r="I56" i="17"/>
  <c r="H56" i="17"/>
  <c r="G56" i="17"/>
  <c r="K55" i="17"/>
  <c r="J55" i="17"/>
  <c r="I55" i="17"/>
  <c r="H55" i="17"/>
  <c r="G55" i="17"/>
  <c r="K54" i="17"/>
  <c r="J54" i="17"/>
  <c r="I54" i="17"/>
  <c r="H54" i="17"/>
  <c r="G54" i="17"/>
  <c r="K53" i="17"/>
  <c r="J53" i="17"/>
  <c r="I53" i="17"/>
  <c r="H53" i="17"/>
  <c r="G53" i="17"/>
  <c r="K52" i="17"/>
  <c r="J52" i="17"/>
  <c r="I52" i="17"/>
  <c r="H52" i="17"/>
  <c r="G52" i="17"/>
  <c r="K51" i="17"/>
  <c r="J51" i="17"/>
  <c r="I51" i="17"/>
  <c r="H51" i="17"/>
  <c r="G51" i="17"/>
  <c r="K50" i="17"/>
  <c r="J50" i="17"/>
  <c r="I50" i="17"/>
  <c r="H50" i="17"/>
  <c r="G50" i="17"/>
  <c r="K49" i="17"/>
  <c r="J49" i="17"/>
  <c r="I49" i="17"/>
  <c r="H49" i="17"/>
  <c r="G49" i="17"/>
  <c r="K48" i="17"/>
  <c r="J48" i="17"/>
  <c r="I48" i="17"/>
  <c r="H48" i="17"/>
  <c r="G48" i="17"/>
  <c r="K47" i="17"/>
  <c r="J47" i="17"/>
  <c r="I47" i="17"/>
  <c r="H47" i="17"/>
  <c r="G47" i="17"/>
  <c r="K46" i="17"/>
  <c r="J46" i="17"/>
  <c r="I46" i="17"/>
  <c r="H46" i="17"/>
  <c r="G46" i="17"/>
  <c r="K45" i="17"/>
  <c r="J45" i="17"/>
  <c r="I45" i="17"/>
  <c r="H45" i="17"/>
  <c r="G45" i="17"/>
  <c r="K44" i="17"/>
  <c r="J44" i="17"/>
  <c r="I44" i="17"/>
  <c r="H44" i="17"/>
  <c r="G44" i="17"/>
  <c r="K43" i="17"/>
  <c r="J43" i="17"/>
  <c r="I43" i="17"/>
  <c r="H43" i="17"/>
  <c r="G43" i="17"/>
  <c r="K42" i="17"/>
  <c r="J42" i="17"/>
  <c r="I42" i="17"/>
  <c r="H42" i="17"/>
  <c r="G42" i="17"/>
  <c r="K41" i="17"/>
  <c r="J41" i="17"/>
  <c r="I41" i="17"/>
  <c r="H41" i="17"/>
  <c r="G41" i="17"/>
  <c r="K40" i="17"/>
  <c r="J40" i="17"/>
  <c r="I40" i="17"/>
  <c r="H40" i="17"/>
  <c r="G40" i="17"/>
  <c r="K39" i="17"/>
  <c r="J39" i="17"/>
  <c r="I39" i="17"/>
  <c r="H39" i="17"/>
  <c r="G39" i="17"/>
  <c r="K38" i="17"/>
  <c r="J38" i="17"/>
  <c r="I38" i="17"/>
  <c r="H38" i="17"/>
  <c r="G38" i="17"/>
  <c r="K37" i="17"/>
  <c r="J37" i="17"/>
  <c r="I37" i="17"/>
  <c r="H37" i="17"/>
  <c r="G37" i="17"/>
  <c r="K36" i="17"/>
  <c r="J36" i="17"/>
  <c r="I36" i="17"/>
  <c r="H36" i="17"/>
  <c r="G36" i="17"/>
  <c r="K35" i="17"/>
  <c r="J35" i="17"/>
  <c r="I35" i="17"/>
  <c r="H35" i="17"/>
  <c r="G35" i="17"/>
  <c r="K34" i="17"/>
  <c r="J34" i="17"/>
  <c r="I34" i="17"/>
  <c r="H34" i="17"/>
  <c r="G34" i="17"/>
  <c r="K33" i="17"/>
  <c r="J33" i="17"/>
  <c r="I33" i="17"/>
  <c r="H33" i="17"/>
  <c r="G33" i="17"/>
  <c r="K32" i="17"/>
  <c r="J32" i="17"/>
  <c r="I32" i="17"/>
  <c r="H32" i="17"/>
  <c r="G32" i="17"/>
  <c r="K31" i="17"/>
  <c r="J31" i="17"/>
  <c r="I31" i="17"/>
  <c r="H31" i="17"/>
  <c r="G31" i="17"/>
  <c r="K30" i="17"/>
  <c r="J30" i="17"/>
  <c r="I30" i="17"/>
  <c r="H30" i="17"/>
  <c r="G30" i="17"/>
  <c r="K29" i="17"/>
  <c r="J29" i="17"/>
  <c r="I29" i="17"/>
  <c r="H29" i="17"/>
  <c r="G29" i="17"/>
  <c r="K28" i="17"/>
  <c r="J28" i="17"/>
  <c r="I28" i="17"/>
  <c r="H28" i="17"/>
  <c r="G28" i="17"/>
  <c r="K27" i="17"/>
  <c r="J27" i="17"/>
  <c r="I27" i="17"/>
  <c r="H27" i="17"/>
  <c r="G27" i="17"/>
  <c r="K26" i="17"/>
  <c r="J26" i="17"/>
  <c r="I26" i="17"/>
  <c r="H26" i="17"/>
  <c r="G26" i="17"/>
  <c r="K25" i="17"/>
  <c r="J25" i="17"/>
  <c r="I25" i="17"/>
  <c r="H25" i="17"/>
  <c r="G25" i="17"/>
  <c r="K24" i="17"/>
  <c r="J24" i="17"/>
  <c r="I24" i="17"/>
  <c r="H24" i="17"/>
  <c r="G24" i="17"/>
  <c r="K23" i="17"/>
  <c r="J23" i="17"/>
  <c r="I23" i="17"/>
  <c r="H23" i="17"/>
  <c r="G23" i="17"/>
  <c r="K22" i="17"/>
  <c r="J22" i="17"/>
  <c r="I22" i="17"/>
  <c r="H22" i="17"/>
  <c r="G22" i="17"/>
  <c r="K21" i="17"/>
  <c r="J21" i="17"/>
  <c r="I21" i="17"/>
  <c r="H21" i="17"/>
  <c r="G21" i="17"/>
  <c r="K20" i="17"/>
  <c r="J20" i="17"/>
  <c r="I20" i="17"/>
  <c r="H20" i="17"/>
  <c r="G20" i="17"/>
  <c r="K19" i="17"/>
  <c r="J19" i="17"/>
  <c r="I19" i="17"/>
  <c r="H19" i="17"/>
  <c r="G19" i="17"/>
  <c r="K18" i="17"/>
  <c r="J18" i="17"/>
  <c r="I18" i="17"/>
  <c r="H18" i="17"/>
  <c r="G18" i="17"/>
  <c r="K17" i="17"/>
  <c r="J17" i="17"/>
  <c r="I17" i="17"/>
  <c r="H17" i="17"/>
  <c r="G17" i="17"/>
  <c r="K16" i="17"/>
  <c r="J16" i="17"/>
  <c r="I16" i="17"/>
  <c r="H16" i="17"/>
  <c r="G16" i="17"/>
  <c r="K15" i="17"/>
  <c r="J15" i="17"/>
  <c r="I15" i="17"/>
  <c r="H15" i="17"/>
  <c r="G15" i="17"/>
  <c r="K14" i="17"/>
  <c r="J14" i="17"/>
  <c r="I14" i="17"/>
  <c r="H14" i="17"/>
  <c r="G14" i="17"/>
  <c r="K13" i="17"/>
  <c r="J13" i="17"/>
  <c r="I13" i="17"/>
  <c r="H13" i="17"/>
  <c r="G13" i="17"/>
  <c r="K12" i="17"/>
  <c r="J12" i="17"/>
  <c r="I12" i="17"/>
  <c r="H12" i="17"/>
  <c r="G12" i="17"/>
  <c r="K11" i="17"/>
  <c r="J11" i="17"/>
  <c r="I11" i="17"/>
  <c r="H11" i="17"/>
  <c r="G11" i="17"/>
  <c r="K10" i="17"/>
  <c r="J10" i="17"/>
  <c r="I10" i="17"/>
  <c r="H10" i="17"/>
  <c r="G10" i="17"/>
  <c r="K9" i="17"/>
  <c r="J9" i="17"/>
  <c r="I9" i="17"/>
  <c r="H9" i="17"/>
  <c r="G9" i="17"/>
  <c r="K8" i="17"/>
  <c r="J8" i="17"/>
  <c r="I8" i="17"/>
  <c r="H8" i="17"/>
  <c r="G8" i="17"/>
  <c r="K7" i="17"/>
  <c r="J7" i="17"/>
  <c r="I7" i="17"/>
  <c r="H7" i="17"/>
  <c r="G7" i="17"/>
  <c r="K6" i="17"/>
  <c r="J6" i="17"/>
  <c r="I6" i="17"/>
  <c r="H6" i="17"/>
  <c r="G6" i="17"/>
  <c r="K5" i="17"/>
  <c r="J5" i="17"/>
  <c r="I5" i="17"/>
  <c r="H5" i="17"/>
  <c r="G5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D5" i="1"/>
  <c r="G29" i="3"/>
  <c r="G30" i="3"/>
  <c r="G32" i="3"/>
  <c r="G35" i="3"/>
  <c r="G26" i="3"/>
  <c r="G31" i="3"/>
  <c r="G28" i="3"/>
  <c r="G33" i="3"/>
  <c r="G34" i="3"/>
  <c r="G27" i="3"/>
  <c r="H29" i="3"/>
  <c r="H30" i="3"/>
  <c r="H32" i="3"/>
  <c r="H35" i="3"/>
  <c r="H26" i="3"/>
  <c r="H31" i="3"/>
  <c r="H28" i="3"/>
  <c r="H33" i="3"/>
  <c r="H34" i="3"/>
  <c r="H27" i="3"/>
  <c r="I29" i="3"/>
  <c r="I30" i="3"/>
  <c r="I32" i="3"/>
  <c r="I35" i="3"/>
  <c r="I26" i="3"/>
  <c r="I31" i="3"/>
  <c r="I28" i="3"/>
  <c r="I33" i="3"/>
  <c r="I34" i="3"/>
  <c r="I27" i="3"/>
  <c r="J29" i="3"/>
  <c r="J30" i="3"/>
  <c r="J32" i="3"/>
  <c r="J35" i="3"/>
  <c r="J26" i="3"/>
  <c r="J31" i="3"/>
  <c r="J28" i="3"/>
  <c r="J33" i="3"/>
  <c r="J34" i="3"/>
  <c r="J27" i="3"/>
  <c r="K29" i="3"/>
  <c r="K30" i="3"/>
  <c r="K32" i="3"/>
  <c r="K35" i="3"/>
  <c r="K26" i="3"/>
  <c r="K31" i="3"/>
  <c r="K28" i="3"/>
  <c r="K33" i="3"/>
  <c r="K34" i="3"/>
  <c r="K27" i="3"/>
  <c r="D41" i="1"/>
  <c r="G41" i="1"/>
  <c r="H41" i="1"/>
  <c r="D36" i="1"/>
  <c r="D37" i="1"/>
  <c r="G36" i="1"/>
  <c r="G37" i="1"/>
  <c r="H36" i="1"/>
  <c r="H37" i="1"/>
  <c r="I36" i="1"/>
  <c r="J24" i="5" s="1"/>
  <c r="L24" i="5" s="1"/>
  <c r="M24" i="5" s="1"/>
  <c r="D18" i="1"/>
  <c r="G18" i="1"/>
  <c r="H18" i="1"/>
  <c r="I18" i="1"/>
  <c r="J28" i="5" s="1"/>
  <c r="L28" i="5" s="1"/>
  <c r="I22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42" i="1"/>
  <c r="G43" i="1"/>
  <c r="G44" i="1"/>
  <c r="G45" i="1"/>
  <c r="G46" i="1"/>
  <c r="G38" i="1"/>
  <c r="G39" i="1"/>
  <c r="G40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D6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8" i="1"/>
  <c r="D29" i="1"/>
  <c r="D30" i="1"/>
  <c r="D31" i="1"/>
  <c r="D32" i="1"/>
  <c r="D33" i="1"/>
  <c r="D34" i="1"/>
  <c r="D35" i="1"/>
  <c r="D42" i="1"/>
  <c r="D43" i="1"/>
  <c r="D44" i="1"/>
  <c r="D45" i="1"/>
  <c r="D46" i="1"/>
  <c r="D38" i="1"/>
  <c r="D39" i="1"/>
  <c r="D40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I5" i="1"/>
  <c r="I7" i="1"/>
  <c r="I8" i="1"/>
  <c r="I9" i="1"/>
  <c r="I10" i="1"/>
  <c r="I11" i="1"/>
  <c r="I12" i="1"/>
  <c r="I13" i="1"/>
  <c r="J27" i="5" s="1"/>
  <c r="L27" i="5" s="1"/>
  <c r="I19" i="1" s="1"/>
  <c r="I14" i="1"/>
  <c r="I15" i="1"/>
  <c r="I16" i="1"/>
  <c r="I17" i="1"/>
  <c r="I30" i="1"/>
  <c r="I31" i="1"/>
  <c r="I32" i="1"/>
  <c r="I33" i="1"/>
  <c r="I34" i="1"/>
  <c r="I35" i="1"/>
  <c r="I42" i="1"/>
  <c r="I38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0" i="1"/>
  <c r="H39" i="1"/>
  <c r="H38" i="1"/>
  <c r="H46" i="1"/>
  <c r="H45" i="1"/>
  <c r="H44" i="1"/>
  <c r="H43" i="1"/>
  <c r="H42" i="1"/>
  <c r="H35" i="1"/>
  <c r="H34" i="1"/>
  <c r="H33" i="1"/>
  <c r="H32" i="1"/>
  <c r="H31" i="1"/>
  <c r="H30" i="1"/>
  <c r="H29" i="1"/>
  <c r="H28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6" i="5"/>
  <c r="L6" i="5" s="1"/>
  <c r="M6" i="5" s="1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11" i="3"/>
  <c r="K54" i="3"/>
  <c r="K61" i="3"/>
  <c r="K59" i="3"/>
  <c r="K19" i="3"/>
  <c r="K50" i="3"/>
  <c r="K8" i="3"/>
  <c r="K10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11" i="3"/>
  <c r="J54" i="3"/>
  <c r="J61" i="3"/>
  <c r="J59" i="3"/>
  <c r="J19" i="3"/>
  <c r="J50" i="3"/>
  <c r="J8" i="3"/>
  <c r="J10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11" i="3"/>
  <c r="I54" i="3"/>
  <c r="I61" i="3"/>
  <c r="I59" i="3"/>
  <c r="I19" i="3"/>
  <c r="I50" i="3"/>
  <c r="I8" i="3"/>
  <c r="I10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11" i="3"/>
  <c r="H54" i="3"/>
  <c r="H61" i="3"/>
  <c r="H59" i="3"/>
  <c r="H19" i="3"/>
  <c r="H50" i="3"/>
  <c r="H8" i="3"/>
  <c r="H1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11" i="3"/>
  <c r="G54" i="3"/>
  <c r="G61" i="3"/>
  <c r="G59" i="3"/>
  <c r="G19" i="3"/>
  <c r="G50" i="3"/>
  <c r="G8" i="3"/>
  <c r="G10" i="3"/>
  <c r="K53" i="3"/>
  <c r="J53" i="3"/>
  <c r="I53" i="3"/>
  <c r="H53" i="3"/>
  <c r="G53" i="3"/>
  <c r="K52" i="3"/>
  <c r="J52" i="3"/>
  <c r="I52" i="3"/>
  <c r="H52" i="3"/>
  <c r="G52" i="3"/>
  <c r="K25" i="3"/>
  <c r="J25" i="3"/>
  <c r="I25" i="3"/>
  <c r="H25" i="3"/>
  <c r="G25" i="3"/>
  <c r="K36" i="3"/>
  <c r="J36" i="3"/>
  <c r="I36" i="3"/>
  <c r="H36" i="3"/>
  <c r="G36" i="3"/>
  <c r="K37" i="3"/>
  <c r="J37" i="3"/>
  <c r="I37" i="3"/>
  <c r="H37" i="3"/>
  <c r="G37" i="3"/>
  <c r="G17" i="3"/>
  <c r="G57" i="3"/>
  <c r="G64" i="3"/>
  <c r="G63" i="3"/>
  <c r="G5" i="3"/>
  <c r="G7" i="3"/>
  <c r="G47" i="3"/>
  <c r="G18" i="3"/>
  <c r="G56" i="3"/>
  <c r="G12" i="3"/>
  <c r="G6" i="3"/>
  <c r="G13" i="3"/>
  <c r="G48" i="3"/>
  <c r="G42" i="3"/>
  <c r="G43" i="3"/>
  <c r="G46" i="3"/>
  <c r="G49" i="3"/>
  <c r="G55" i="3"/>
  <c r="G65" i="3"/>
  <c r="G45" i="3"/>
  <c r="G14" i="3"/>
  <c r="G24" i="3"/>
  <c r="G44" i="3"/>
  <c r="G16" i="3"/>
  <c r="G58" i="3"/>
  <c r="G60" i="3"/>
  <c r="G38" i="3"/>
  <c r="G20" i="3"/>
  <c r="G21" i="3"/>
  <c r="G23" i="3"/>
  <c r="G40" i="3"/>
  <c r="G39" i="3"/>
  <c r="G51" i="3"/>
  <c r="G15" i="3"/>
  <c r="G9" i="3"/>
  <c r="G41" i="3"/>
  <c r="G62" i="3"/>
  <c r="G22" i="3"/>
  <c r="K17" i="3"/>
  <c r="K57" i="3"/>
  <c r="K64" i="3"/>
  <c r="K63" i="3"/>
  <c r="K5" i="3"/>
  <c r="K7" i="3"/>
  <c r="K47" i="3"/>
  <c r="K18" i="3"/>
  <c r="K56" i="3"/>
  <c r="K12" i="3"/>
  <c r="K6" i="3"/>
  <c r="K13" i="3"/>
  <c r="K48" i="3"/>
  <c r="K42" i="3"/>
  <c r="K43" i="3"/>
  <c r="K46" i="3"/>
  <c r="K49" i="3"/>
  <c r="K55" i="3"/>
  <c r="K65" i="3"/>
  <c r="K45" i="3"/>
  <c r="K14" i="3"/>
  <c r="K24" i="3"/>
  <c r="K44" i="3"/>
  <c r="K16" i="3"/>
  <c r="K58" i="3"/>
  <c r="K60" i="3"/>
  <c r="K38" i="3"/>
  <c r="K20" i="3"/>
  <c r="K21" i="3"/>
  <c r="K23" i="3"/>
  <c r="K40" i="3"/>
  <c r="K39" i="3"/>
  <c r="K51" i="3"/>
  <c r="K15" i="3"/>
  <c r="K9" i="3"/>
  <c r="K41" i="3"/>
  <c r="K62" i="3"/>
  <c r="K22" i="3"/>
  <c r="J17" i="3"/>
  <c r="J57" i="3"/>
  <c r="J64" i="3"/>
  <c r="J63" i="3"/>
  <c r="J5" i="3"/>
  <c r="J7" i="3"/>
  <c r="J47" i="3"/>
  <c r="J18" i="3"/>
  <c r="J56" i="3"/>
  <c r="J12" i="3"/>
  <c r="J6" i="3"/>
  <c r="J13" i="3"/>
  <c r="J48" i="3"/>
  <c r="J42" i="3"/>
  <c r="J43" i="3"/>
  <c r="J46" i="3"/>
  <c r="J49" i="3"/>
  <c r="J55" i="3"/>
  <c r="J65" i="3"/>
  <c r="J45" i="3"/>
  <c r="J14" i="3"/>
  <c r="J24" i="3"/>
  <c r="J44" i="3"/>
  <c r="J16" i="3"/>
  <c r="J58" i="3"/>
  <c r="J60" i="3"/>
  <c r="J38" i="3"/>
  <c r="J20" i="3"/>
  <c r="J21" i="3"/>
  <c r="J23" i="3"/>
  <c r="J40" i="3"/>
  <c r="J39" i="3"/>
  <c r="J51" i="3"/>
  <c r="J15" i="3"/>
  <c r="J9" i="3"/>
  <c r="J41" i="3"/>
  <c r="J62" i="3"/>
  <c r="J22" i="3"/>
  <c r="I17" i="3"/>
  <c r="I57" i="3"/>
  <c r="I64" i="3"/>
  <c r="I63" i="3"/>
  <c r="I5" i="3"/>
  <c r="I7" i="3"/>
  <c r="I47" i="3"/>
  <c r="I18" i="3"/>
  <c r="I56" i="3"/>
  <c r="I12" i="3"/>
  <c r="I6" i="3"/>
  <c r="I13" i="3"/>
  <c r="I48" i="3"/>
  <c r="I42" i="3"/>
  <c r="I43" i="3"/>
  <c r="I46" i="3"/>
  <c r="I49" i="3"/>
  <c r="I55" i="3"/>
  <c r="I65" i="3"/>
  <c r="I45" i="3"/>
  <c r="I14" i="3"/>
  <c r="I24" i="3"/>
  <c r="I44" i="3"/>
  <c r="I16" i="3"/>
  <c r="I58" i="3"/>
  <c r="I60" i="3"/>
  <c r="I38" i="3"/>
  <c r="I20" i="3"/>
  <c r="I21" i="3"/>
  <c r="I23" i="3"/>
  <c r="I40" i="3"/>
  <c r="I39" i="3"/>
  <c r="I51" i="3"/>
  <c r="I15" i="3"/>
  <c r="I9" i="3"/>
  <c r="I41" i="3"/>
  <c r="I62" i="3"/>
  <c r="I22" i="3"/>
  <c r="H17" i="3"/>
  <c r="H57" i="3"/>
  <c r="H64" i="3"/>
  <c r="H63" i="3"/>
  <c r="H5" i="3"/>
  <c r="H7" i="3"/>
  <c r="H47" i="3"/>
  <c r="H18" i="3"/>
  <c r="H56" i="3"/>
  <c r="H12" i="3"/>
  <c r="H6" i="3"/>
  <c r="H13" i="3"/>
  <c r="H48" i="3"/>
  <c r="H42" i="3"/>
  <c r="H43" i="3"/>
  <c r="H46" i="3"/>
  <c r="H49" i="3"/>
  <c r="H55" i="3"/>
  <c r="H65" i="3"/>
  <c r="H45" i="3"/>
  <c r="H14" i="3"/>
  <c r="H24" i="3"/>
  <c r="H44" i="3"/>
  <c r="H16" i="3"/>
  <c r="H58" i="3"/>
  <c r="H60" i="3"/>
  <c r="H38" i="3"/>
  <c r="H20" i="3"/>
  <c r="H21" i="3"/>
  <c r="H23" i="3"/>
  <c r="H40" i="3"/>
  <c r="H39" i="3"/>
  <c r="H51" i="3"/>
  <c r="H15" i="3"/>
  <c r="H9" i="3"/>
  <c r="H41" i="3"/>
  <c r="H62" i="3"/>
  <c r="H22" i="3"/>
  <c r="B37" i="7"/>
  <c r="C37" i="7" s="1"/>
  <c r="D37" i="7" s="1"/>
  <c r="B38" i="7"/>
  <c r="B39" i="7"/>
  <c r="C39" i="7" s="1"/>
  <c r="B40" i="7"/>
  <c r="C40" i="7" s="1"/>
  <c r="D40" i="7" s="1"/>
  <c r="B41" i="7"/>
  <c r="C41" i="7" s="1"/>
  <c r="D41" i="7" s="1"/>
  <c r="C38" i="7"/>
  <c r="C128" i="10"/>
  <c r="K128" i="10"/>
  <c r="C129" i="10"/>
  <c r="K129" i="10"/>
  <c r="C130" i="10"/>
  <c r="C131" i="10"/>
  <c r="C132" i="10"/>
  <c r="C133" i="10"/>
  <c r="C134" i="10"/>
  <c r="C135" i="10"/>
  <c r="C136" i="10"/>
  <c r="K130" i="10"/>
  <c r="K131" i="10"/>
  <c r="K132" i="10"/>
  <c r="K133" i="10"/>
  <c r="K134" i="10"/>
  <c r="K135" i="10"/>
  <c r="K136" i="10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C127" i="10"/>
  <c r="K127" i="10"/>
  <c r="C126" i="10"/>
  <c r="K126" i="10"/>
  <c r="C125" i="10"/>
  <c r="K125" i="10"/>
  <c r="C124" i="10"/>
  <c r="K124" i="10"/>
  <c r="C123" i="10"/>
  <c r="K123" i="10"/>
  <c r="C122" i="10"/>
  <c r="K122" i="10"/>
  <c r="C121" i="10"/>
  <c r="K121" i="10"/>
  <c r="C120" i="10"/>
  <c r="K120" i="10"/>
  <c r="C119" i="10"/>
  <c r="K119" i="10"/>
  <c r="C118" i="10"/>
  <c r="K118" i="10"/>
  <c r="C117" i="10"/>
  <c r="K117" i="10"/>
  <c r="C116" i="10"/>
  <c r="K116" i="10"/>
  <c r="C115" i="10"/>
  <c r="K115" i="10"/>
  <c r="J33" i="5"/>
  <c r="L33" i="5" s="1"/>
  <c r="J41" i="5"/>
  <c r="L41" i="5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C74" i="10"/>
  <c r="K74" i="10"/>
  <c r="C73" i="10"/>
  <c r="K73" i="10"/>
  <c r="C72" i="10"/>
  <c r="K72" i="10"/>
  <c r="C71" i="10"/>
  <c r="K71" i="10"/>
  <c r="C70" i="10"/>
  <c r="K70" i="10"/>
  <c r="C69" i="10"/>
  <c r="K69" i="10"/>
  <c r="C68" i="10"/>
  <c r="K68" i="10"/>
  <c r="C67" i="10"/>
  <c r="K67" i="10"/>
  <c r="C66" i="10"/>
  <c r="K66" i="10"/>
  <c r="C65" i="10"/>
  <c r="K65" i="10"/>
  <c r="C64" i="10"/>
  <c r="K64" i="10"/>
  <c r="C63" i="10"/>
  <c r="K63" i="10"/>
  <c r="C62" i="10"/>
  <c r="K62" i="10"/>
  <c r="C61" i="10"/>
  <c r="K61" i="10"/>
  <c r="C60" i="10"/>
  <c r="K60" i="10"/>
  <c r="C59" i="10"/>
  <c r="K59" i="10"/>
  <c r="C58" i="10"/>
  <c r="K58" i="10"/>
  <c r="C57" i="10"/>
  <c r="K57" i="10"/>
  <c r="C56" i="10"/>
  <c r="K56" i="10"/>
  <c r="C55" i="10"/>
  <c r="K55" i="10"/>
  <c r="C54" i="10"/>
  <c r="K54" i="10"/>
  <c r="C53" i="10"/>
  <c r="K53" i="10"/>
  <c r="B35" i="7"/>
  <c r="C35" i="7" s="1"/>
  <c r="B36" i="7"/>
  <c r="C36" i="7" s="1"/>
  <c r="J38" i="5"/>
  <c r="L38" i="5" s="1"/>
  <c r="B33" i="7"/>
  <c r="C33" i="7" s="1"/>
  <c r="B34" i="7"/>
  <c r="C34" i="7" s="1"/>
  <c r="J37" i="5"/>
  <c r="L37" i="5" s="1"/>
  <c r="J40" i="5"/>
  <c r="L40" i="5" s="1"/>
  <c r="F19" i="15"/>
  <c r="C26" i="10"/>
  <c r="K26" i="10"/>
  <c r="C32" i="10"/>
  <c r="C33" i="10"/>
  <c r="C34" i="10"/>
  <c r="C35" i="10"/>
  <c r="C36" i="10"/>
  <c r="C38" i="10"/>
  <c r="C37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K32" i="10"/>
  <c r="K33" i="10"/>
  <c r="K34" i="10"/>
  <c r="K35" i="10"/>
  <c r="K36" i="10"/>
  <c r="K38" i="10"/>
  <c r="K37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D125" i="15"/>
  <c r="C125" i="15"/>
  <c r="I5" i="15"/>
  <c r="I6" i="15"/>
  <c r="I9" i="15"/>
  <c r="I10" i="15"/>
  <c r="I11" i="15"/>
  <c r="I13" i="15"/>
  <c r="I14" i="15"/>
  <c r="I15" i="15"/>
  <c r="I19" i="15"/>
  <c r="I20" i="15"/>
  <c r="I21" i="15"/>
  <c r="I26" i="15"/>
  <c r="I27" i="15"/>
  <c r="I32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H5" i="15"/>
  <c r="H6" i="15"/>
  <c r="H9" i="15"/>
  <c r="H10" i="15"/>
  <c r="H11" i="15"/>
  <c r="H13" i="15"/>
  <c r="H14" i="15"/>
  <c r="H15" i="15"/>
  <c r="H19" i="15"/>
  <c r="H20" i="15"/>
  <c r="H21" i="15"/>
  <c r="H26" i="15"/>
  <c r="H27" i="15"/>
  <c r="H32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F5" i="15"/>
  <c r="F6" i="15"/>
  <c r="F9" i="15"/>
  <c r="F10" i="15"/>
  <c r="F11" i="15"/>
  <c r="F13" i="15"/>
  <c r="F14" i="15"/>
  <c r="F15" i="15"/>
  <c r="F20" i="15"/>
  <c r="F21" i="15"/>
  <c r="F24" i="15"/>
  <c r="F26" i="15"/>
  <c r="F27" i="15"/>
  <c r="F28" i="15"/>
  <c r="F29" i="15"/>
  <c r="F31" i="15"/>
  <c r="F32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B32" i="7"/>
  <c r="C32" i="7" s="1"/>
  <c r="B31" i="7"/>
  <c r="C31" i="7" s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I5" i="14"/>
  <c r="J5" i="14" s="1"/>
  <c r="I6" i="14"/>
  <c r="J6" i="14" s="1"/>
  <c r="I7" i="14"/>
  <c r="J7" i="14" s="1"/>
  <c r="I8" i="14"/>
  <c r="J8" i="14" s="1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35" i="14"/>
  <c r="J35" i="14" s="1"/>
  <c r="I36" i="14"/>
  <c r="J36" i="14" s="1"/>
  <c r="I37" i="14"/>
  <c r="J37" i="14" s="1"/>
  <c r="I38" i="14"/>
  <c r="J38" i="14" s="1"/>
  <c r="I39" i="14"/>
  <c r="J39" i="14" s="1"/>
  <c r="I40" i="14"/>
  <c r="J40" i="14" s="1"/>
  <c r="I41" i="14"/>
  <c r="J41" i="14" s="1"/>
  <c r="I42" i="14"/>
  <c r="J42" i="14" s="1"/>
  <c r="I43" i="14"/>
  <c r="J43" i="14" s="1"/>
  <c r="I44" i="14"/>
  <c r="J44" i="14" s="1"/>
  <c r="I45" i="14"/>
  <c r="J45" i="14" s="1"/>
  <c r="I46" i="14"/>
  <c r="J46" i="14" s="1"/>
  <c r="I47" i="14"/>
  <c r="J47" i="14" s="1"/>
  <c r="I48" i="14"/>
  <c r="J48" i="14" s="1"/>
  <c r="I49" i="14"/>
  <c r="J49" i="14" s="1"/>
  <c r="I50" i="14"/>
  <c r="J50" i="14" s="1"/>
  <c r="I51" i="14"/>
  <c r="J51" i="14" s="1"/>
  <c r="I52" i="14"/>
  <c r="J52" i="14" s="1"/>
  <c r="I53" i="14"/>
  <c r="J53" i="14" s="1"/>
  <c r="I54" i="14"/>
  <c r="J54" i="14" s="1"/>
  <c r="I55" i="14"/>
  <c r="J55" i="14" s="1"/>
  <c r="I56" i="14"/>
  <c r="J56" i="14" s="1"/>
  <c r="I57" i="14"/>
  <c r="J57" i="14" s="1"/>
  <c r="I58" i="14"/>
  <c r="J58" i="14" s="1"/>
  <c r="I59" i="14"/>
  <c r="J59" i="14" s="1"/>
  <c r="I60" i="14"/>
  <c r="J60" i="14" s="1"/>
  <c r="I61" i="14"/>
  <c r="J61" i="14" s="1"/>
  <c r="I62" i="14"/>
  <c r="J62" i="14" s="1"/>
  <c r="I63" i="14"/>
  <c r="J63" i="14" s="1"/>
  <c r="I64" i="14"/>
  <c r="J64" i="14" s="1"/>
  <c r="I65" i="14"/>
  <c r="J65" i="14" s="1"/>
  <c r="I66" i="14"/>
  <c r="J66" i="14" s="1"/>
  <c r="I67" i="14"/>
  <c r="J67" i="14" s="1"/>
  <c r="I68" i="14"/>
  <c r="J68" i="14" s="1"/>
  <c r="I69" i="14"/>
  <c r="J69" i="14" s="1"/>
  <c r="I70" i="14"/>
  <c r="J70" i="14" s="1"/>
  <c r="I71" i="14"/>
  <c r="J71" i="14" s="1"/>
  <c r="I72" i="14"/>
  <c r="J72" i="14" s="1"/>
  <c r="I73" i="14"/>
  <c r="J73" i="14" s="1"/>
  <c r="I74" i="14"/>
  <c r="J74" i="14" s="1"/>
  <c r="I75" i="14"/>
  <c r="J75" i="14" s="1"/>
  <c r="I76" i="14"/>
  <c r="J76" i="14" s="1"/>
  <c r="I77" i="14"/>
  <c r="J77" i="14" s="1"/>
  <c r="I78" i="14"/>
  <c r="J78" i="14" s="1"/>
  <c r="I79" i="14"/>
  <c r="J79" i="14" s="1"/>
  <c r="I80" i="14"/>
  <c r="J80" i="14" s="1"/>
  <c r="I81" i="14"/>
  <c r="J81" i="14" s="1"/>
  <c r="I82" i="14"/>
  <c r="J82" i="14" s="1"/>
  <c r="I83" i="14"/>
  <c r="J83" i="14" s="1"/>
  <c r="I84" i="14"/>
  <c r="J84" i="14" s="1"/>
  <c r="I85" i="14"/>
  <c r="J85" i="14" s="1"/>
  <c r="I86" i="14"/>
  <c r="J86" i="14" s="1"/>
  <c r="I87" i="14"/>
  <c r="J87" i="14" s="1"/>
  <c r="I88" i="14"/>
  <c r="J88" i="14" s="1"/>
  <c r="I89" i="14"/>
  <c r="J89" i="14" s="1"/>
  <c r="I90" i="14"/>
  <c r="J90" i="14" s="1"/>
  <c r="I91" i="14"/>
  <c r="J91" i="14" s="1"/>
  <c r="I92" i="14"/>
  <c r="J92" i="14" s="1"/>
  <c r="I93" i="14"/>
  <c r="J93" i="14" s="1"/>
  <c r="I94" i="14"/>
  <c r="J94" i="14" s="1"/>
  <c r="I95" i="14"/>
  <c r="J95" i="14" s="1"/>
  <c r="I96" i="14"/>
  <c r="J96" i="14" s="1"/>
  <c r="I97" i="14"/>
  <c r="J97" i="14" s="1"/>
  <c r="I98" i="14"/>
  <c r="J98" i="14" s="1"/>
  <c r="I99" i="14"/>
  <c r="J99" i="14" s="1"/>
  <c r="I100" i="14"/>
  <c r="J100" i="14" s="1"/>
  <c r="I101" i="14"/>
  <c r="J101" i="14" s="1"/>
  <c r="I102" i="14"/>
  <c r="J102" i="14" s="1"/>
  <c r="I103" i="14"/>
  <c r="J103" i="14" s="1"/>
  <c r="I104" i="14"/>
  <c r="J104" i="14" s="1"/>
  <c r="I105" i="14"/>
  <c r="J105" i="14" s="1"/>
  <c r="I106" i="14"/>
  <c r="J106" i="14" s="1"/>
  <c r="I107" i="14"/>
  <c r="J107" i="14" s="1"/>
  <c r="I108" i="14"/>
  <c r="J108" i="14" s="1"/>
  <c r="I109" i="14"/>
  <c r="J109" i="14" s="1"/>
  <c r="I110" i="14"/>
  <c r="J110" i="14" s="1"/>
  <c r="I111" i="14"/>
  <c r="J111" i="14" s="1"/>
  <c r="I112" i="14"/>
  <c r="J112" i="14" s="1"/>
  <c r="I113" i="14"/>
  <c r="J113" i="14" s="1"/>
  <c r="I114" i="14"/>
  <c r="J114" i="14" s="1"/>
  <c r="I115" i="14"/>
  <c r="J115" i="14" s="1"/>
  <c r="I116" i="14"/>
  <c r="J116" i="14" s="1"/>
  <c r="I117" i="14"/>
  <c r="J117" i="14" s="1"/>
  <c r="I118" i="14"/>
  <c r="J118" i="14" s="1"/>
  <c r="I119" i="14"/>
  <c r="J119" i="14" s="1"/>
  <c r="I120" i="14"/>
  <c r="J120" i="14" s="1"/>
  <c r="I121" i="14"/>
  <c r="J121" i="14" s="1"/>
  <c r="I122" i="14"/>
  <c r="J122" i="14" s="1"/>
  <c r="I123" i="14"/>
  <c r="J123" i="14" s="1"/>
  <c r="I124" i="14"/>
  <c r="J124" i="14" s="1"/>
  <c r="I125" i="14"/>
  <c r="J125" i="14" s="1"/>
  <c r="I126" i="14"/>
  <c r="J126" i="14" s="1"/>
  <c r="I127" i="14"/>
  <c r="J127" i="14" s="1"/>
  <c r="I128" i="14"/>
  <c r="J128" i="14" s="1"/>
  <c r="I129" i="14"/>
  <c r="J129" i="14" s="1"/>
  <c r="I130" i="14"/>
  <c r="J130" i="14" s="1"/>
  <c r="I131" i="14"/>
  <c r="J131" i="14" s="1"/>
  <c r="I132" i="14"/>
  <c r="J132" i="14" s="1"/>
  <c r="I133" i="14"/>
  <c r="J133" i="14" s="1"/>
  <c r="I134" i="14"/>
  <c r="J134" i="14" s="1"/>
  <c r="I135" i="14"/>
  <c r="J135" i="14" s="1"/>
  <c r="I136" i="14"/>
  <c r="J136" i="14" s="1"/>
  <c r="I137" i="14"/>
  <c r="J137" i="14" s="1"/>
  <c r="I138" i="14"/>
  <c r="J138" i="14" s="1"/>
  <c r="I139" i="14"/>
  <c r="J139" i="14" s="1"/>
  <c r="I140" i="14"/>
  <c r="J140" i="14" s="1"/>
  <c r="I141" i="14"/>
  <c r="J141" i="14" s="1"/>
  <c r="I142" i="14"/>
  <c r="J142" i="14" s="1"/>
  <c r="I143" i="14"/>
  <c r="J143" i="14" s="1"/>
  <c r="I144" i="14"/>
  <c r="J144" i="14" s="1"/>
  <c r="I145" i="14"/>
  <c r="J145" i="14" s="1"/>
  <c r="I146" i="14"/>
  <c r="J146" i="14" s="1"/>
  <c r="I147" i="14"/>
  <c r="J147" i="14" s="1"/>
  <c r="I148" i="14"/>
  <c r="J148" i="14" s="1"/>
  <c r="I149" i="14"/>
  <c r="J149" i="14" s="1"/>
  <c r="I150" i="14"/>
  <c r="J150" i="14" s="1"/>
  <c r="I151" i="14"/>
  <c r="J151" i="14" s="1"/>
  <c r="I152" i="14"/>
  <c r="J152" i="14" s="1"/>
  <c r="I153" i="14"/>
  <c r="J153" i="14" s="1"/>
  <c r="I154" i="14"/>
  <c r="J154" i="14" s="1"/>
  <c r="I155" i="14"/>
  <c r="J155" i="14" s="1"/>
  <c r="I156" i="14"/>
  <c r="J156" i="14" s="1"/>
  <c r="I157" i="14"/>
  <c r="J157" i="14" s="1"/>
  <c r="I158" i="14"/>
  <c r="J158" i="14" s="1"/>
  <c r="I159" i="14"/>
  <c r="J159" i="14" s="1"/>
  <c r="I160" i="14"/>
  <c r="J160" i="14" s="1"/>
  <c r="I161" i="14"/>
  <c r="J161" i="14" s="1"/>
  <c r="I162" i="14"/>
  <c r="J162" i="14" s="1"/>
  <c r="I163" i="14"/>
  <c r="J163" i="14" s="1"/>
  <c r="I164" i="14"/>
  <c r="J164" i="14" s="1"/>
  <c r="N11" i="14"/>
  <c r="N5" i="14"/>
  <c r="N6" i="14"/>
  <c r="N7" i="14"/>
  <c r="N8" i="14"/>
  <c r="N9" i="14"/>
  <c r="N10" i="14"/>
  <c r="C6" i="8"/>
  <c r="D11" i="4"/>
  <c r="D10" i="4"/>
  <c r="C23" i="10"/>
  <c r="K23" i="10"/>
  <c r="C22" i="10"/>
  <c r="K22" i="10"/>
  <c r="C18" i="10"/>
  <c r="C19" i="10"/>
  <c r="C20" i="10"/>
  <c r="C21" i="10"/>
  <c r="K18" i="10"/>
  <c r="K19" i="10"/>
  <c r="K20" i="10"/>
  <c r="K21" i="10"/>
  <c r="C9" i="10"/>
  <c r="C10" i="10"/>
  <c r="K9" i="10"/>
  <c r="K10" i="10"/>
  <c r="C8" i="10"/>
  <c r="K8" i="10"/>
  <c r="C7" i="10"/>
  <c r="K7" i="10"/>
  <c r="C6" i="10"/>
  <c r="K6" i="10"/>
  <c r="D9" i="4"/>
  <c r="D8" i="4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88" i="1"/>
  <c r="K88" i="1" s="1"/>
  <c r="Y116" i="1"/>
  <c r="Y117" i="1"/>
  <c r="Y118" i="1"/>
  <c r="Y119" i="1"/>
  <c r="Y120" i="1"/>
  <c r="Y121" i="1"/>
  <c r="Y122" i="1"/>
  <c r="Y123" i="1"/>
  <c r="Y124" i="1"/>
  <c r="Y125" i="1"/>
  <c r="Y115" i="1"/>
  <c r="C25" i="11"/>
  <c r="C26" i="11"/>
  <c r="C27" i="11"/>
  <c r="C28" i="11"/>
  <c r="C29" i="11"/>
  <c r="C30" i="11"/>
  <c r="C31" i="11"/>
  <c r="C32" i="11"/>
  <c r="C33" i="11"/>
  <c r="F25" i="11"/>
  <c r="F26" i="11"/>
  <c r="F27" i="11"/>
  <c r="F28" i="11"/>
  <c r="F29" i="11"/>
  <c r="F30" i="11"/>
  <c r="F31" i="11"/>
  <c r="F32" i="11"/>
  <c r="F33" i="11"/>
  <c r="C24" i="11"/>
  <c r="F24" i="11"/>
  <c r="C23" i="11"/>
  <c r="F23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5" i="11"/>
  <c r="C18" i="11"/>
  <c r="C19" i="11"/>
  <c r="C20" i="11"/>
  <c r="C21" i="11"/>
  <c r="C22" i="11"/>
  <c r="C12" i="11"/>
  <c r="C5" i="9"/>
  <c r="D5" i="9" s="1"/>
  <c r="C6" i="9"/>
  <c r="G6" i="9" s="1"/>
  <c r="C7" i="9"/>
  <c r="C8" i="9"/>
  <c r="B8" i="9" s="1"/>
  <c r="C9" i="9"/>
  <c r="G9" i="9" s="1"/>
  <c r="C10" i="9"/>
  <c r="G10" i="9" s="1"/>
  <c r="C11" i="9"/>
  <c r="D11" i="9" s="1"/>
  <c r="C12" i="9"/>
  <c r="G12" i="9" s="1"/>
  <c r="C13" i="9"/>
  <c r="B13" i="9" s="1"/>
  <c r="C14" i="9"/>
  <c r="D14" i="9" s="1"/>
  <c r="C15" i="9"/>
  <c r="B15" i="9" s="1"/>
  <c r="C16" i="9"/>
  <c r="B16" i="9" s="1"/>
  <c r="C17" i="9"/>
  <c r="D17" i="9" s="1"/>
  <c r="C18" i="9"/>
  <c r="D18" i="9" s="1"/>
  <c r="C19" i="9"/>
  <c r="D19" i="9" s="1"/>
  <c r="C20" i="9"/>
  <c r="D20" i="9" s="1"/>
  <c r="C21" i="9"/>
  <c r="D21" i="9" s="1"/>
  <c r="C22" i="9"/>
  <c r="D22" i="9" s="1"/>
  <c r="C23" i="9"/>
  <c r="D23" i="9" s="1"/>
  <c r="C24" i="9"/>
  <c r="D24" i="9" s="1"/>
  <c r="C25" i="9"/>
  <c r="B25" i="9" s="1"/>
  <c r="C26" i="9"/>
  <c r="D26" i="9" s="1"/>
  <c r="C27" i="9"/>
  <c r="D27" i="9" s="1"/>
  <c r="C28" i="9"/>
  <c r="B28" i="9" s="1"/>
  <c r="C29" i="9"/>
  <c r="B29" i="9" s="1"/>
  <c r="C30" i="9"/>
  <c r="G30" i="9" s="1"/>
  <c r="B27" i="13"/>
  <c r="E27" i="13" s="1"/>
  <c r="B28" i="7"/>
  <c r="C28" i="7" s="1"/>
  <c r="B29" i="7"/>
  <c r="C29" i="7" s="1"/>
  <c r="B30" i="7"/>
  <c r="C30" i="7" s="1"/>
  <c r="B23" i="7"/>
  <c r="C23" i="7" s="1"/>
  <c r="B24" i="7"/>
  <c r="C24" i="7" s="1"/>
  <c r="B25" i="7"/>
  <c r="C25" i="7" s="1"/>
  <c r="B26" i="7"/>
  <c r="C26" i="7" s="1"/>
  <c r="B27" i="7"/>
  <c r="C27" i="7" s="1"/>
  <c r="J29" i="5"/>
  <c r="L29" i="5" s="1"/>
  <c r="M29" i="5" s="1"/>
  <c r="B21" i="7"/>
  <c r="C21" i="7" s="1"/>
  <c r="B22" i="7"/>
  <c r="C22" i="7" s="1"/>
  <c r="C21" i="6"/>
  <c r="H5" i="2" s="1"/>
  <c r="B24" i="13"/>
  <c r="E24" i="13" s="1"/>
  <c r="B25" i="13"/>
  <c r="E25" i="13" s="1"/>
  <c r="B26" i="13"/>
  <c r="E26" i="13" s="1"/>
  <c r="B28" i="13"/>
  <c r="E28" i="13" s="1"/>
  <c r="B29" i="13"/>
  <c r="E29" i="13" s="1"/>
  <c r="B30" i="13"/>
  <c r="E30" i="13" s="1"/>
  <c r="B31" i="13"/>
  <c r="E31" i="13" s="1"/>
  <c r="B32" i="13"/>
  <c r="E32" i="13" s="1"/>
  <c r="B33" i="13"/>
  <c r="E33" i="13" s="1"/>
  <c r="B34" i="13"/>
  <c r="E34" i="13" s="1"/>
  <c r="B35" i="13"/>
  <c r="E35" i="13" s="1"/>
  <c r="B36" i="13"/>
  <c r="E36" i="13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J38" i="13"/>
  <c r="J39" i="13"/>
  <c r="H40" i="13"/>
  <c r="K40" i="13"/>
  <c r="H41" i="13"/>
  <c r="H42" i="13"/>
  <c r="K42" i="13"/>
  <c r="J43" i="13"/>
  <c r="J44" i="13"/>
  <c r="H46" i="13"/>
  <c r="K46" i="13"/>
  <c r="J47" i="13"/>
  <c r="H48" i="13"/>
  <c r="K48" i="13"/>
  <c r="H49" i="13"/>
  <c r="H50" i="13"/>
  <c r="K50" i="13"/>
  <c r="J51" i="13"/>
  <c r="H52" i="13"/>
  <c r="K52" i="13"/>
  <c r="H53" i="13"/>
  <c r="J54" i="13"/>
  <c r="J55" i="13"/>
  <c r="J56" i="13"/>
  <c r="H57" i="13"/>
  <c r="H58" i="13"/>
  <c r="K58" i="13"/>
  <c r="J59" i="13"/>
  <c r="H60" i="13"/>
  <c r="K60" i="13"/>
  <c r="H61" i="13"/>
  <c r="H62" i="13"/>
  <c r="K62" i="13"/>
  <c r="J63" i="13"/>
  <c r="H64" i="13"/>
  <c r="K64" i="13"/>
  <c r="H65" i="13"/>
  <c r="H66" i="13"/>
  <c r="K66" i="13"/>
  <c r="J67" i="13"/>
  <c r="H68" i="13"/>
  <c r="K68" i="13"/>
  <c r="H69" i="13"/>
  <c r="H70" i="13"/>
  <c r="K70" i="13"/>
  <c r="J71" i="13"/>
  <c r="J72" i="13"/>
  <c r="H73" i="13"/>
  <c r="H74" i="13"/>
  <c r="K74" i="13"/>
  <c r="J75" i="13"/>
  <c r="H76" i="13"/>
  <c r="K76" i="13"/>
  <c r="H77" i="13"/>
  <c r="K77" i="13"/>
  <c r="H78" i="13"/>
  <c r="K78" i="13"/>
  <c r="J79" i="13"/>
  <c r="H44" i="13"/>
  <c r="K44" i="13"/>
  <c r="H45" i="13"/>
  <c r="B21" i="13"/>
  <c r="E21" i="13" s="1"/>
  <c r="B22" i="13"/>
  <c r="E22" i="13" s="1"/>
  <c r="B23" i="13"/>
  <c r="E23" i="13" s="1"/>
  <c r="J30" i="5"/>
  <c r="L30" i="5" s="1"/>
  <c r="J31" i="5"/>
  <c r="L31" i="5" s="1"/>
  <c r="J32" i="5"/>
  <c r="L32" i="5" s="1"/>
  <c r="J17" i="5"/>
  <c r="L17" i="5" s="1"/>
  <c r="M17" i="5" s="1"/>
  <c r="H137" i="10"/>
  <c r="I137" i="10"/>
  <c r="K5" i="10"/>
  <c r="K11" i="10"/>
  <c r="K12" i="10"/>
  <c r="K24" i="10"/>
  <c r="K13" i="10"/>
  <c r="K14" i="10"/>
  <c r="K15" i="10"/>
  <c r="K16" i="10"/>
  <c r="K25" i="10"/>
  <c r="K17" i="10"/>
  <c r="K27" i="10"/>
  <c r="K30" i="10"/>
  <c r="K29" i="10"/>
  <c r="K28" i="10"/>
  <c r="K31" i="10"/>
  <c r="C5" i="10"/>
  <c r="C11" i="10"/>
  <c r="C12" i="10"/>
  <c r="C24" i="10"/>
  <c r="C13" i="10"/>
  <c r="C14" i="10"/>
  <c r="C15" i="10"/>
  <c r="C16" i="10"/>
  <c r="C25" i="10"/>
  <c r="C17" i="10"/>
  <c r="C27" i="10"/>
  <c r="C30" i="10"/>
  <c r="C29" i="10"/>
  <c r="C28" i="10"/>
  <c r="C31" i="10"/>
  <c r="G51" i="11"/>
  <c r="C5" i="11"/>
  <c r="C6" i="11"/>
  <c r="C7" i="11"/>
  <c r="C8" i="11"/>
  <c r="C9" i="11"/>
  <c r="C10" i="11"/>
  <c r="C11" i="11"/>
  <c r="C13" i="11"/>
  <c r="C14" i="11"/>
  <c r="C15" i="11"/>
  <c r="C16" i="11"/>
  <c r="C17" i="11"/>
  <c r="B5" i="13"/>
  <c r="E5" i="13" s="1"/>
  <c r="B6" i="13"/>
  <c r="E6" i="13" s="1"/>
  <c r="B7" i="13"/>
  <c r="E7" i="13" s="1"/>
  <c r="B8" i="13"/>
  <c r="E8" i="13" s="1"/>
  <c r="B9" i="13"/>
  <c r="E9" i="13" s="1"/>
  <c r="B10" i="13"/>
  <c r="E10" i="13" s="1"/>
  <c r="B11" i="13"/>
  <c r="E11" i="13" s="1"/>
  <c r="B12" i="13"/>
  <c r="E12" i="13" s="1"/>
  <c r="B13" i="13"/>
  <c r="E13" i="13" s="1"/>
  <c r="B14" i="13"/>
  <c r="E14" i="13" s="1"/>
  <c r="B15" i="13"/>
  <c r="E15" i="13" s="1"/>
  <c r="B16" i="13"/>
  <c r="E16" i="13" s="1"/>
  <c r="B17" i="13"/>
  <c r="E17" i="13" s="1"/>
  <c r="B18" i="13"/>
  <c r="E18" i="13" s="1"/>
  <c r="B19" i="13"/>
  <c r="E19" i="13" s="1"/>
  <c r="B20" i="13"/>
  <c r="E20" i="13" s="1"/>
  <c r="B21" i="8"/>
  <c r="B5" i="7"/>
  <c r="C5" i="7" s="1"/>
  <c r="B6" i="7"/>
  <c r="C6" i="7" s="1"/>
  <c r="I6" i="7" s="1"/>
  <c r="B7" i="7"/>
  <c r="C7" i="7" s="1"/>
  <c r="B8" i="7"/>
  <c r="C8" i="7" s="1"/>
  <c r="I8" i="7" s="1"/>
  <c r="B9" i="7"/>
  <c r="C9" i="7" s="1"/>
  <c r="I9" i="7" s="1"/>
  <c r="B10" i="7"/>
  <c r="C10" i="7" s="1"/>
  <c r="I10" i="7" s="1"/>
  <c r="B11" i="7"/>
  <c r="C11" i="7" s="1"/>
  <c r="I11" i="7" s="1"/>
  <c r="B12" i="7"/>
  <c r="C12" i="7" s="1"/>
  <c r="I12" i="7" s="1"/>
  <c r="B13" i="7"/>
  <c r="C13" i="7" s="1"/>
  <c r="I13" i="7" s="1"/>
  <c r="B14" i="7"/>
  <c r="C14" i="7" s="1"/>
  <c r="I14" i="7" s="1"/>
  <c r="B15" i="7"/>
  <c r="C15" i="7" s="1"/>
  <c r="I15" i="7" s="1"/>
  <c r="B16" i="7"/>
  <c r="C16" i="7" s="1"/>
  <c r="I16" i="7" s="1"/>
  <c r="B17" i="7"/>
  <c r="C17" i="7" s="1"/>
  <c r="I17" i="7" s="1"/>
  <c r="B18" i="7"/>
  <c r="C18" i="7" s="1"/>
  <c r="I18" i="7" s="1"/>
  <c r="B19" i="7"/>
  <c r="C19" i="7" s="1"/>
  <c r="I19" i="7" s="1"/>
  <c r="B20" i="7"/>
  <c r="C20" i="7" s="1"/>
  <c r="I20" i="7" s="1"/>
  <c r="C12" i="4"/>
  <c r="G5" i="2" s="1"/>
  <c r="D122" i="3"/>
  <c r="J40" i="13"/>
  <c r="J60" i="13"/>
  <c r="J52" i="13"/>
  <c r="H56" i="13"/>
  <c r="K56" i="13"/>
  <c r="J76" i="13"/>
  <c r="J48" i="13"/>
  <c r="H72" i="13"/>
  <c r="K72" i="13"/>
  <c r="J68" i="13"/>
  <c r="J42" i="13"/>
  <c r="H54" i="13"/>
  <c r="K54" i="13"/>
  <c r="J70" i="13"/>
  <c r="J50" i="13"/>
  <c r="H38" i="13"/>
  <c r="K38" i="13"/>
  <c r="J78" i="13"/>
  <c r="J58" i="13"/>
  <c r="J66" i="13"/>
  <c r="J46" i="13"/>
  <c r="J74" i="13"/>
  <c r="J62" i="13"/>
  <c r="J77" i="13"/>
  <c r="J64" i="13"/>
  <c r="J73" i="13"/>
  <c r="K73" i="13"/>
  <c r="J69" i="13"/>
  <c r="K69" i="13"/>
  <c r="J65" i="13"/>
  <c r="K65" i="13"/>
  <c r="J61" i="13"/>
  <c r="K61" i="13"/>
  <c r="J57" i="13"/>
  <c r="K57" i="13"/>
  <c r="J53" i="13"/>
  <c r="K53" i="13"/>
  <c r="J49" i="13"/>
  <c r="K49" i="13"/>
  <c r="J45" i="13"/>
  <c r="K45" i="13"/>
  <c r="J41" i="13"/>
  <c r="K41" i="13"/>
  <c r="H79" i="13"/>
  <c r="K79" i="13"/>
  <c r="H75" i="13"/>
  <c r="K75" i="13"/>
  <c r="H71" i="13"/>
  <c r="K71" i="13"/>
  <c r="H67" i="13"/>
  <c r="K67" i="13"/>
  <c r="H63" i="13"/>
  <c r="K63" i="13"/>
  <c r="H59" i="13"/>
  <c r="K59" i="13"/>
  <c r="H55" i="13"/>
  <c r="K55" i="13"/>
  <c r="H51" i="13"/>
  <c r="K51" i="13"/>
  <c r="H47" i="13"/>
  <c r="K47" i="13"/>
  <c r="H43" i="13"/>
  <c r="K43" i="13"/>
  <c r="H39" i="13"/>
  <c r="K39" i="13"/>
  <c r="D6" i="4"/>
  <c r="D7" i="4"/>
  <c r="D5" i="4"/>
  <c r="I27" i="1" l="1"/>
  <c r="M28" i="5"/>
  <c r="M27" i="5"/>
  <c r="M44" i="5"/>
  <c r="M40" i="5"/>
  <c r="M32" i="5"/>
  <c r="M33" i="5"/>
  <c r="M47" i="5"/>
  <c r="M43" i="5"/>
  <c r="M31" i="5"/>
  <c r="M46" i="5"/>
  <c r="M42" i="5"/>
  <c r="M38" i="5"/>
  <c r="M30" i="5"/>
  <c r="M45" i="5"/>
  <c r="M41" i="5"/>
  <c r="M37" i="5"/>
  <c r="I44" i="1"/>
  <c r="J20" i="5"/>
  <c r="L20" i="5" s="1"/>
  <c r="M20" i="5" s="1"/>
  <c r="I28" i="1"/>
  <c r="J22" i="5" s="1"/>
  <c r="L22" i="5" s="1"/>
  <c r="M22" i="5" s="1"/>
  <c r="J21" i="5"/>
  <c r="L21" i="5" s="1"/>
  <c r="M21" i="5" s="1"/>
  <c r="I29" i="1"/>
  <c r="J23" i="5" s="1"/>
  <c r="L23" i="5" s="1"/>
  <c r="M23" i="5" s="1"/>
  <c r="J18" i="5"/>
  <c r="L18" i="5" s="1"/>
  <c r="I25" i="1"/>
  <c r="J25" i="5"/>
  <c r="L25" i="5" s="1"/>
  <c r="J26" i="5"/>
  <c r="L26" i="5" s="1"/>
  <c r="I40" i="7"/>
  <c r="E40" i="7" s="1"/>
  <c r="G40" i="7" s="1"/>
  <c r="H40" i="7" s="1"/>
  <c r="D39" i="7"/>
  <c r="I39" i="7"/>
  <c r="E39" i="7" s="1"/>
  <c r="G39" i="7" s="1"/>
  <c r="H39" i="7" s="1"/>
  <c r="I41" i="7"/>
  <c r="E41" i="7" s="1"/>
  <c r="G41" i="7" s="1"/>
  <c r="H41" i="7" s="1"/>
  <c r="I37" i="7"/>
  <c r="D38" i="7"/>
  <c r="I38" i="7"/>
  <c r="E38" i="7" s="1"/>
  <c r="G38" i="7" s="1"/>
  <c r="H38" i="7" s="1"/>
  <c r="J39" i="5"/>
  <c r="L39" i="5" s="1"/>
  <c r="M39" i="5" s="1"/>
  <c r="L136" i="10"/>
  <c r="M136" i="10" s="1"/>
  <c r="F33" i="15"/>
  <c r="H31" i="15"/>
  <c r="I31" i="15"/>
  <c r="F30" i="15"/>
  <c r="F23" i="15"/>
  <c r="F25" i="15"/>
  <c r="F18" i="15"/>
  <c r="F22" i="15"/>
  <c r="D36" i="7"/>
  <c r="I36" i="7"/>
  <c r="E36" i="7" s="1"/>
  <c r="G36" i="7" s="1"/>
  <c r="H36" i="7" s="1"/>
  <c r="D35" i="7"/>
  <c r="I35" i="7"/>
  <c r="I34" i="7"/>
  <c r="I33" i="7"/>
  <c r="J36" i="5"/>
  <c r="L36" i="5" s="1"/>
  <c r="M36" i="5" s="1"/>
  <c r="B19" i="9"/>
  <c r="J35" i="5"/>
  <c r="L35" i="5" s="1"/>
  <c r="M35" i="5" s="1"/>
  <c r="F7" i="15"/>
  <c r="J7" i="15" s="1"/>
  <c r="O7" i="15" s="1"/>
  <c r="F16" i="15"/>
  <c r="F12" i="15"/>
  <c r="F8" i="15"/>
  <c r="F17" i="15"/>
  <c r="G13" i="9"/>
  <c r="G125" i="15"/>
  <c r="N5" i="15"/>
  <c r="N6" i="15"/>
  <c r="L6" i="15"/>
  <c r="J5" i="15"/>
  <c r="M5" i="15"/>
  <c r="K6" i="15"/>
  <c r="M6" i="15"/>
  <c r="L5" i="15"/>
  <c r="K5" i="15"/>
  <c r="J6" i="15"/>
  <c r="O6" i="15" s="1"/>
  <c r="I31" i="7"/>
  <c r="B21" i="9"/>
  <c r="B30" i="9"/>
  <c r="D25" i="9"/>
  <c r="D13" i="9"/>
  <c r="J34" i="5"/>
  <c r="L34" i="5" s="1"/>
  <c r="M34" i="5" s="1"/>
  <c r="B6" i="9"/>
  <c r="B5" i="9"/>
  <c r="G29" i="9"/>
  <c r="B14" i="9"/>
  <c r="D29" i="9"/>
  <c r="G21" i="9"/>
  <c r="G26" i="9"/>
  <c r="G18" i="9"/>
  <c r="G6" i="13"/>
  <c r="H6" i="13" s="1"/>
  <c r="K6" i="13" s="1"/>
  <c r="B9" i="9"/>
  <c r="D9" i="9"/>
  <c r="G5" i="9"/>
  <c r="G25" i="9"/>
  <c r="G17" i="9"/>
  <c r="B10" i="9"/>
  <c r="B22" i="9"/>
  <c r="D10" i="9"/>
  <c r="B18" i="9"/>
  <c r="B17" i="9"/>
  <c r="D30" i="9"/>
  <c r="G22" i="9"/>
  <c r="G14" i="9"/>
  <c r="G25" i="13"/>
  <c r="H25" i="13" s="1"/>
  <c r="K25" i="13" s="1"/>
  <c r="G21" i="13"/>
  <c r="H21" i="13" s="1"/>
  <c r="K21" i="13" s="1"/>
  <c r="G28" i="13"/>
  <c r="H28" i="13" s="1"/>
  <c r="K28" i="13" s="1"/>
  <c r="G5" i="13"/>
  <c r="H5" i="13" s="1"/>
  <c r="K5" i="13" s="1"/>
  <c r="B20" i="9"/>
  <c r="D8" i="9"/>
  <c r="D28" i="9"/>
  <c r="G9" i="13"/>
  <c r="H9" i="13" s="1"/>
  <c r="K9" i="13" s="1"/>
  <c r="B26" i="9"/>
  <c r="D6" i="9"/>
  <c r="D12" i="9"/>
  <c r="B12" i="9"/>
  <c r="B24" i="9"/>
  <c r="D16" i="9"/>
  <c r="G28" i="9"/>
  <c r="G24" i="9"/>
  <c r="G20" i="9"/>
  <c r="G16" i="9"/>
  <c r="G8" i="9"/>
  <c r="G17" i="13"/>
  <c r="H17" i="13" s="1"/>
  <c r="K17" i="13" s="1"/>
  <c r="G10" i="13"/>
  <c r="J10" i="13" s="1"/>
  <c r="G27" i="9"/>
  <c r="G23" i="9"/>
  <c r="G19" i="9"/>
  <c r="G15" i="9"/>
  <c r="G11" i="9"/>
  <c r="G7" i="9"/>
  <c r="G36" i="13"/>
  <c r="H36" i="13" s="1"/>
  <c r="K36" i="13" s="1"/>
  <c r="G13" i="13"/>
  <c r="H13" i="13" s="1"/>
  <c r="K13" i="13" s="1"/>
  <c r="G32" i="13"/>
  <c r="H32" i="13" s="1"/>
  <c r="K32" i="13" s="1"/>
  <c r="G22" i="13"/>
  <c r="H22" i="13" s="1"/>
  <c r="K22" i="13" s="1"/>
  <c r="B23" i="9"/>
  <c r="D7" i="9"/>
  <c r="G35" i="13"/>
  <c r="H35" i="13" s="1"/>
  <c r="K35" i="13" s="1"/>
  <c r="G31" i="13"/>
  <c r="H31" i="13" s="1"/>
  <c r="K31" i="13" s="1"/>
  <c r="G24" i="13"/>
  <c r="H24" i="13" s="1"/>
  <c r="K24" i="13" s="1"/>
  <c r="G20" i="13"/>
  <c r="H20" i="13" s="1"/>
  <c r="K20" i="13" s="1"/>
  <c r="G16" i="13"/>
  <c r="H16" i="13" s="1"/>
  <c r="K16" i="13" s="1"/>
  <c r="G12" i="13"/>
  <c r="H12" i="13" s="1"/>
  <c r="K12" i="13" s="1"/>
  <c r="G8" i="13"/>
  <c r="H8" i="13" s="1"/>
  <c r="K8" i="13" s="1"/>
  <c r="B11" i="9"/>
  <c r="B7" i="9"/>
  <c r="B27" i="9"/>
  <c r="D15" i="9"/>
  <c r="G34" i="13"/>
  <c r="H34" i="13" s="1"/>
  <c r="K34" i="13" s="1"/>
  <c r="G30" i="13"/>
  <c r="H30" i="13" s="1"/>
  <c r="K30" i="13" s="1"/>
  <c r="G27" i="13"/>
  <c r="H27" i="13" s="1"/>
  <c r="K27" i="13" s="1"/>
  <c r="G23" i="13"/>
  <c r="H23" i="13" s="1"/>
  <c r="K23" i="13" s="1"/>
  <c r="G19" i="13"/>
  <c r="H19" i="13" s="1"/>
  <c r="K19" i="13" s="1"/>
  <c r="G15" i="13"/>
  <c r="H15" i="13" s="1"/>
  <c r="K15" i="13" s="1"/>
  <c r="G11" i="13"/>
  <c r="H11" i="13" s="1"/>
  <c r="K11" i="13" s="1"/>
  <c r="G7" i="13"/>
  <c r="H7" i="13" s="1"/>
  <c r="K7" i="13" s="1"/>
  <c r="G33" i="13"/>
  <c r="H33" i="13" s="1"/>
  <c r="K33" i="13" s="1"/>
  <c r="G29" i="13"/>
  <c r="H29" i="13" s="1"/>
  <c r="K29" i="13" s="1"/>
  <c r="G26" i="13"/>
  <c r="H26" i="13" s="1"/>
  <c r="K26" i="13" s="1"/>
  <c r="G18" i="13"/>
  <c r="J18" i="13" s="1"/>
  <c r="G14" i="13"/>
  <c r="H14" i="13" s="1"/>
  <c r="K14" i="13" s="1"/>
  <c r="K137" i="10"/>
  <c r="B5" i="14" s="1"/>
  <c r="D12" i="4"/>
  <c r="Z121" i="1"/>
  <c r="Z118" i="1"/>
  <c r="J16" i="5"/>
  <c r="L16" i="5" s="1"/>
  <c r="M16" i="5" s="1"/>
  <c r="D6" i="7"/>
  <c r="J10" i="5"/>
  <c r="L10" i="5" s="1"/>
  <c r="J11" i="5"/>
  <c r="L11" i="5" s="1"/>
  <c r="M11" i="5" s="1"/>
  <c r="J13" i="5"/>
  <c r="L13" i="5" s="1"/>
  <c r="M13" i="5" s="1"/>
  <c r="J14" i="5"/>
  <c r="L14" i="5" s="1"/>
  <c r="M14" i="5" s="1"/>
  <c r="J12" i="5"/>
  <c r="L12" i="5" s="1"/>
  <c r="M12" i="5" s="1"/>
  <c r="E37" i="13"/>
  <c r="M26" i="5" l="1"/>
  <c r="E26" i="7" s="1"/>
  <c r="G26" i="7" s="1"/>
  <c r="H26" i="7" s="1"/>
  <c r="I26" i="1"/>
  <c r="I39" i="1"/>
  <c r="M18" i="5"/>
  <c r="I45" i="1"/>
  <c r="M10" i="5"/>
  <c r="E10" i="7" s="1"/>
  <c r="G10" i="7" s="1"/>
  <c r="H10" i="7" s="1"/>
  <c r="I40" i="1"/>
  <c r="M25" i="5"/>
  <c r="I23" i="1"/>
  <c r="E24" i="7"/>
  <c r="G24" i="7" s="1"/>
  <c r="H24" i="7" s="1"/>
  <c r="E11" i="7"/>
  <c r="G11" i="7" s="1"/>
  <c r="H11" i="7" s="1"/>
  <c r="I46" i="1"/>
  <c r="E35" i="7"/>
  <c r="G35" i="7" s="1"/>
  <c r="H35" i="7" s="1"/>
  <c r="I21" i="1"/>
  <c r="D23" i="7"/>
  <c r="D29" i="7"/>
  <c r="D22" i="7"/>
  <c r="D30" i="7"/>
  <c r="D28" i="7"/>
  <c r="D16" i="7"/>
  <c r="L112" i="10" s="1"/>
  <c r="M112" i="10" s="1"/>
  <c r="E22" i="7"/>
  <c r="G22" i="7" s="1"/>
  <c r="H22" i="7" s="1"/>
  <c r="D27" i="7"/>
  <c r="D26" i="7"/>
  <c r="E29" i="7"/>
  <c r="G29" i="7" s="1"/>
  <c r="H29" i="7" s="1"/>
  <c r="D24" i="7"/>
  <c r="I20" i="1"/>
  <c r="I24" i="1"/>
  <c r="E23" i="7"/>
  <c r="G23" i="7" s="1"/>
  <c r="H23" i="7" s="1"/>
  <c r="D18" i="7"/>
  <c r="E37" i="7"/>
  <c r="G37" i="7" s="1"/>
  <c r="H37" i="7" s="1"/>
  <c r="L128" i="10"/>
  <c r="L51" i="10"/>
  <c r="M51" i="10" s="1"/>
  <c r="L114" i="10"/>
  <c r="M114" i="10" s="1"/>
  <c r="L57" i="10"/>
  <c r="M57" i="10" s="1"/>
  <c r="L60" i="10"/>
  <c r="M60" i="10" s="1"/>
  <c r="D32" i="7"/>
  <c r="E34" i="7"/>
  <c r="G34" i="7" s="1"/>
  <c r="H34" i="7" s="1"/>
  <c r="D34" i="7"/>
  <c r="L83" i="10"/>
  <c r="M83" i="10" s="1"/>
  <c r="L46" i="10"/>
  <c r="M46" i="10" s="1"/>
  <c r="L91" i="10"/>
  <c r="M91" i="10" s="1"/>
  <c r="L50" i="10"/>
  <c r="M50" i="10" s="1"/>
  <c r="L90" i="10"/>
  <c r="M90" i="10" s="1"/>
  <c r="L99" i="10"/>
  <c r="M99" i="10" s="1"/>
  <c r="L73" i="10"/>
  <c r="M73" i="10" s="1"/>
  <c r="L87" i="10"/>
  <c r="L96" i="10"/>
  <c r="M96" i="10" s="1"/>
  <c r="L89" i="10"/>
  <c r="M89" i="10" s="1"/>
  <c r="L49" i="10"/>
  <c r="M49" i="10" s="1"/>
  <c r="E33" i="7"/>
  <c r="G33" i="7" s="1"/>
  <c r="H33" i="7" s="1"/>
  <c r="D33" i="7"/>
  <c r="J11" i="15"/>
  <c r="O11" i="15" s="1"/>
  <c r="L43" i="10"/>
  <c r="M43" i="10" s="1"/>
  <c r="J16" i="15"/>
  <c r="O16" i="15" s="1"/>
  <c r="J15" i="15"/>
  <c r="O15" i="15" s="1"/>
  <c r="F125" i="15"/>
  <c r="J9" i="15"/>
  <c r="O9" i="15" s="1"/>
  <c r="J10" i="15"/>
  <c r="O10" i="15" s="1"/>
  <c r="J12" i="15"/>
  <c r="O12" i="15" s="1"/>
  <c r="J13" i="15"/>
  <c r="O13" i="15" s="1"/>
  <c r="J14" i="15"/>
  <c r="O14" i="15" s="1"/>
  <c r="J8" i="15"/>
  <c r="O8" i="15" s="1"/>
  <c r="J108" i="15"/>
  <c r="O108" i="15" s="1"/>
  <c r="J103" i="15"/>
  <c r="O103" i="15" s="1"/>
  <c r="J61" i="15"/>
  <c r="O61" i="15" s="1"/>
  <c r="J36" i="15"/>
  <c r="O36" i="15" s="1"/>
  <c r="J82" i="15"/>
  <c r="O82" i="15" s="1"/>
  <c r="J121" i="15"/>
  <c r="O121" i="15" s="1"/>
  <c r="J33" i="15"/>
  <c r="O33" i="15" s="1"/>
  <c r="J89" i="15"/>
  <c r="O89" i="15" s="1"/>
  <c r="J80" i="15"/>
  <c r="O80" i="15" s="1"/>
  <c r="J42" i="15"/>
  <c r="O42" i="15" s="1"/>
  <c r="J39" i="15"/>
  <c r="O39" i="15" s="1"/>
  <c r="J65" i="15"/>
  <c r="O65" i="15" s="1"/>
  <c r="J104" i="15"/>
  <c r="O104" i="15" s="1"/>
  <c r="J30" i="15"/>
  <c r="O30" i="15" s="1"/>
  <c r="J114" i="15"/>
  <c r="O114" i="15" s="1"/>
  <c r="J55" i="15"/>
  <c r="O55" i="15" s="1"/>
  <c r="J100" i="15"/>
  <c r="O100" i="15" s="1"/>
  <c r="J41" i="15"/>
  <c r="O41" i="15" s="1"/>
  <c r="J97" i="15"/>
  <c r="O97" i="15" s="1"/>
  <c r="J44" i="15"/>
  <c r="O44" i="15" s="1"/>
  <c r="J74" i="15"/>
  <c r="O74" i="15" s="1"/>
  <c r="J119" i="15"/>
  <c r="O119" i="15" s="1"/>
  <c r="J17" i="15"/>
  <c r="O17" i="15" s="1"/>
  <c r="J45" i="15"/>
  <c r="O45" i="15" s="1"/>
  <c r="J77" i="15"/>
  <c r="O77" i="15" s="1"/>
  <c r="J105" i="15"/>
  <c r="O105" i="15" s="1"/>
  <c r="J56" i="15"/>
  <c r="O56" i="15" s="1"/>
  <c r="J112" i="15"/>
  <c r="O112" i="15" s="1"/>
  <c r="J50" i="15"/>
  <c r="O50" i="15" s="1"/>
  <c r="J94" i="15"/>
  <c r="O94" i="15" s="1"/>
  <c r="J71" i="15"/>
  <c r="O71" i="15" s="1"/>
  <c r="J25" i="15"/>
  <c r="O25" i="15" s="1"/>
  <c r="J57" i="15"/>
  <c r="O57" i="15" s="1"/>
  <c r="J81" i="15"/>
  <c r="O81" i="15" s="1"/>
  <c r="J109" i="15"/>
  <c r="O109" i="15" s="1"/>
  <c r="J32" i="15"/>
  <c r="O32" i="15" s="1"/>
  <c r="J72" i="15"/>
  <c r="O72" i="15" s="1"/>
  <c r="J120" i="15"/>
  <c r="O120" i="15" s="1"/>
  <c r="J18" i="15"/>
  <c r="O18" i="15" s="1"/>
  <c r="J62" i="15"/>
  <c r="O62" i="15" s="1"/>
  <c r="J106" i="15"/>
  <c r="O106" i="15" s="1"/>
  <c r="J23" i="15"/>
  <c r="O23" i="15" s="1"/>
  <c r="J87" i="15"/>
  <c r="O87" i="15" s="1"/>
  <c r="J68" i="15"/>
  <c r="O68" i="15" s="1"/>
  <c r="J20" i="15"/>
  <c r="O20" i="15" s="1"/>
  <c r="J29" i="15"/>
  <c r="O29" i="15" s="1"/>
  <c r="J49" i="15"/>
  <c r="O49" i="15" s="1"/>
  <c r="J73" i="15"/>
  <c r="O73" i="15" s="1"/>
  <c r="J93" i="15"/>
  <c r="O93" i="15" s="1"/>
  <c r="J113" i="15"/>
  <c r="O113" i="15" s="1"/>
  <c r="J28" i="15"/>
  <c r="O28" i="15" s="1"/>
  <c r="J52" i="15"/>
  <c r="O52" i="15" s="1"/>
  <c r="J88" i="15"/>
  <c r="O88" i="15" s="1"/>
  <c r="J26" i="15"/>
  <c r="O26" i="15" s="1"/>
  <c r="J46" i="15"/>
  <c r="O46" i="15" s="1"/>
  <c r="J66" i="15"/>
  <c r="O66" i="15" s="1"/>
  <c r="J90" i="15"/>
  <c r="O90" i="15" s="1"/>
  <c r="J110" i="15"/>
  <c r="O110" i="15" s="1"/>
  <c r="J43" i="15"/>
  <c r="O43" i="15" s="1"/>
  <c r="J75" i="15"/>
  <c r="O75" i="15" s="1"/>
  <c r="J107" i="15"/>
  <c r="O107" i="15" s="1"/>
  <c r="J60" i="15"/>
  <c r="O60" i="15" s="1"/>
  <c r="J124" i="15"/>
  <c r="O124" i="15" s="1"/>
  <c r="J34" i="15"/>
  <c r="O34" i="15" s="1"/>
  <c r="J58" i="15"/>
  <c r="O58" i="15" s="1"/>
  <c r="J78" i="15"/>
  <c r="O78" i="15" s="1"/>
  <c r="J98" i="15"/>
  <c r="O98" i="15" s="1"/>
  <c r="J122" i="15"/>
  <c r="O122" i="15" s="1"/>
  <c r="J27" i="15"/>
  <c r="O27" i="15" s="1"/>
  <c r="J59" i="15"/>
  <c r="O59" i="15" s="1"/>
  <c r="J91" i="15"/>
  <c r="O91" i="15" s="1"/>
  <c r="J123" i="15"/>
  <c r="O123" i="15" s="1"/>
  <c r="J92" i="15"/>
  <c r="O92" i="15" s="1"/>
  <c r="J21" i="15"/>
  <c r="O21" i="15" s="1"/>
  <c r="J37" i="15"/>
  <c r="O37" i="15" s="1"/>
  <c r="J53" i="15"/>
  <c r="O53" i="15" s="1"/>
  <c r="J69" i="15"/>
  <c r="O69" i="15" s="1"/>
  <c r="J85" i="15"/>
  <c r="O85" i="15" s="1"/>
  <c r="J101" i="15"/>
  <c r="O101" i="15" s="1"/>
  <c r="J117" i="15"/>
  <c r="O117" i="15" s="1"/>
  <c r="J24" i="15"/>
  <c r="O24" i="15" s="1"/>
  <c r="J40" i="15"/>
  <c r="O40" i="15" s="1"/>
  <c r="J64" i="15"/>
  <c r="O64" i="15" s="1"/>
  <c r="J96" i="15"/>
  <c r="O96" i="15" s="1"/>
  <c r="J22" i="15"/>
  <c r="O22" i="15" s="1"/>
  <c r="J38" i="15"/>
  <c r="O38" i="15" s="1"/>
  <c r="J54" i="15"/>
  <c r="O54" i="15" s="1"/>
  <c r="J70" i="15"/>
  <c r="O70" i="15" s="1"/>
  <c r="J86" i="15"/>
  <c r="O86" i="15" s="1"/>
  <c r="J102" i="15"/>
  <c r="O102" i="15" s="1"/>
  <c r="J118" i="15"/>
  <c r="O118" i="15" s="1"/>
  <c r="J19" i="15"/>
  <c r="O19" i="15" s="1"/>
  <c r="J35" i="15"/>
  <c r="O35" i="15" s="1"/>
  <c r="J51" i="15"/>
  <c r="O51" i="15" s="1"/>
  <c r="J67" i="15"/>
  <c r="O67" i="15" s="1"/>
  <c r="J83" i="15"/>
  <c r="O83" i="15" s="1"/>
  <c r="J99" i="15"/>
  <c r="O99" i="15" s="1"/>
  <c r="J115" i="15"/>
  <c r="O115" i="15" s="1"/>
  <c r="J48" i="15"/>
  <c r="O48" i="15" s="1"/>
  <c r="J84" i="15"/>
  <c r="O84" i="15" s="1"/>
  <c r="J116" i="15"/>
  <c r="O116" i="15" s="1"/>
  <c r="J31" i="15"/>
  <c r="O31" i="15" s="1"/>
  <c r="J47" i="15"/>
  <c r="O47" i="15" s="1"/>
  <c r="J63" i="15"/>
  <c r="O63" i="15" s="1"/>
  <c r="J79" i="15"/>
  <c r="O79" i="15" s="1"/>
  <c r="J95" i="15"/>
  <c r="O95" i="15" s="1"/>
  <c r="J111" i="15"/>
  <c r="O111" i="15" s="1"/>
  <c r="J76" i="15"/>
  <c r="O76" i="15" s="1"/>
  <c r="D31" i="7"/>
  <c r="O5" i="15"/>
  <c r="J6" i="13"/>
  <c r="J5" i="13"/>
  <c r="J25" i="13"/>
  <c r="J21" i="13"/>
  <c r="J22" i="13"/>
  <c r="J20" i="13"/>
  <c r="J13" i="13"/>
  <c r="H10" i="13"/>
  <c r="K10" i="13" s="1"/>
  <c r="J19" i="13"/>
  <c r="J14" i="13"/>
  <c r="J28" i="13"/>
  <c r="J16" i="13"/>
  <c r="J32" i="13"/>
  <c r="J35" i="13"/>
  <c r="J15" i="13"/>
  <c r="J30" i="13"/>
  <c r="J9" i="13"/>
  <c r="J24" i="13"/>
  <c r="H18" i="13"/>
  <c r="K18" i="13" s="1"/>
  <c r="J23" i="13"/>
  <c r="J17" i="13"/>
  <c r="J8" i="13"/>
  <c r="J36" i="13"/>
  <c r="J29" i="13"/>
  <c r="J34" i="13"/>
  <c r="J7" i="13"/>
  <c r="J26" i="13"/>
  <c r="J33" i="13"/>
  <c r="J27" i="13"/>
  <c r="J12" i="13"/>
  <c r="J11" i="13"/>
  <c r="J31" i="13"/>
  <c r="L13" i="10"/>
  <c r="M13" i="10" s="1"/>
  <c r="L15" i="10"/>
  <c r="M15" i="10" s="1"/>
  <c r="E6" i="7"/>
  <c r="G6" i="7" s="1"/>
  <c r="H6" i="7" s="1"/>
  <c r="D17" i="7"/>
  <c r="D20" i="7"/>
  <c r="D11" i="7"/>
  <c r="D10" i="7"/>
  <c r="E31" i="7" l="1"/>
  <c r="G31" i="7" s="1"/>
  <c r="H31" i="7" s="1"/>
  <c r="E16" i="7"/>
  <c r="G16" i="7" s="1"/>
  <c r="H16" i="7" s="1"/>
  <c r="E30" i="7"/>
  <c r="G30" i="7" s="1"/>
  <c r="H30" i="7" s="1"/>
  <c r="E18" i="7"/>
  <c r="G18" i="7" s="1"/>
  <c r="H18" i="7" s="1"/>
  <c r="E28" i="7"/>
  <c r="G28" i="7" s="1"/>
  <c r="H28" i="7" s="1"/>
  <c r="E27" i="7"/>
  <c r="G27" i="7" s="1"/>
  <c r="H27" i="7" s="1"/>
  <c r="J9" i="5"/>
  <c r="L9" i="5" s="1"/>
  <c r="M9" i="5" s="1"/>
  <c r="J8" i="5"/>
  <c r="L8" i="5" s="1"/>
  <c r="E17" i="7"/>
  <c r="G17" i="7" s="1"/>
  <c r="H17" i="7" s="1"/>
  <c r="E20" i="7"/>
  <c r="G20" i="7" s="1"/>
  <c r="H20" i="7" s="1"/>
  <c r="L115" i="10"/>
  <c r="M115" i="10" s="1"/>
  <c r="L126" i="10"/>
  <c r="M126" i="10" s="1"/>
  <c r="L123" i="10"/>
  <c r="M123" i="10" s="1"/>
  <c r="L118" i="10"/>
  <c r="M118" i="10" s="1"/>
  <c r="L134" i="10"/>
  <c r="M134" i="10" s="1"/>
  <c r="L116" i="10"/>
  <c r="M116" i="10" s="1"/>
  <c r="L124" i="10"/>
  <c r="M124" i="10" s="1"/>
  <c r="L131" i="10"/>
  <c r="M131" i="10" s="1"/>
  <c r="L132" i="10"/>
  <c r="M132" i="10" s="1"/>
  <c r="L133" i="10"/>
  <c r="M133" i="10" s="1"/>
  <c r="L125" i="10"/>
  <c r="M125" i="10" s="1"/>
  <c r="L110" i="10"/>
  <c r="M110" i="10" s="1"/>
  <c r="L127" i="10"/>
  <c r="M127" i="10" s="1"/>
  <c r="L107" i="10"/>
  <c r="M107" i="10" s="1"/>
  <c r="L106" i="10"/>
  <c r="M106" i="10" s="1"/>
  <c r="L135" i="10"/>
  <c r="M135" i="10" s="1"/>
  <c r="L122" i="10"/>
  <c r="M122" i="10" s="1"/>
  <c r="L108" i="10"/>
  <c r="M108" i="10" s="1"/>
  <c r="L129" i="10"/>
  <c r="M129" i="10" s="1"/>
  <c r="L130" i="10"/>
  <c r="M130" i="10" s="1"/>
  <c r="L109" i="10"/>
  <c r="M109" i="10" s="1"/>
  <c r="L105" i="10"/>
  <c r="M105" i="10" s="1"/>
  <c r="L121" i="10"/>
  <c r="M121" i="10" s="1"/>
  <c r="L104" i="10"/>
  <c r="M104" i="10" s="1"/>
  <c r="L119" i="10"/>
  <c r="M119" i="10" s="1"/>
  <c r="L103" i="10"/>
  <c r="M103" i="10" s="1"/>
  <c r="L111" i="10"/>
  <c r="M111" i="10" s="1"/>
  <c r="L120" i="10"/>
  <c r="M120" i="10" s="1"/>
  <c r="M128" i="10"/>
  <c r="E32" i="7"/>
  <c r="G32" i="7" s="1"/>
  <c r="H32" i="7" s="1"/>
  <c r="L97" i="10"/>
  <c r="M97" i="10" s="1"/>
  <c r="L93" i="10"/>
  <c r="M93" i="10" s="1"/>
  <c r="L72" i="10"/>
  <c r="L61" i="10"/>
  <c r="L66" i="10"/>
  <c r="M66" i="10" s="1"/>
  <c r="L92" i="10"/>
  <c r="M92" i="10" s="1"/>
  <c r="L94" i="10"/>
  <c r="M94" i="10" s="1"/>
  <c r="L81" i="10"/>
  <c r="M81" i="10" s="1"/>
  <c r="L88" i="10"/>
  <c r="M88" i="10" s="1"/>
  <c r="L84" i="10"/>
  <c r="M84" i="10" s="1"/>
  <c r="L65" i="10"/>
  <c r="M65" i="10" s="1"/>
  <c r="L101" i="10"/>
  <c r="L62" i="10"/>
  <c r="M62" i="10" s="1"/>
  <c r="L70" i="10"/>
  <c r="M70" i="10" s="1"/>
  <c r="L102" i="10"/>
  <c r="M102" i="10" s="1"/>
  <c r="L64" i="10"/>
  <c r="M64" i="10" s="1"/>
  <c r="L98" i="10"/>
  <c r="M98" i="10" s="1"/>
  <c r="L45" i="10"/>
  <c r="L68" i="10"/>
  <c r="M68" i="10" s="1"/>
  <c r="L53" i="10"/>
  <c r="M53" i="10" s="1"/>
  <c r="L47" i="10"/>
  <c r="M47" i="10" s="1"/>
  <c r="L52" i="10"/>
  <c r="M52" i="10" s="1"/>
  <c r="L67" i="10"/>
  <c r="M67" i="10" s="1"/>
  <c r="L48" i="10"/>
  <c r="M48" i="10" s="1"/>
  <c r="L100" i="10"/>
  <c r="M100" i="10" s="1"/>
  <c r="L86" i="10"/>
  <c r="M86" i="10" s="1"/>
  <c r="L56" i="10"/>
  <c r="M56" i="10" s="1"/>
  <c r="L95" i="10"/>
  <c r="M95" i="10" s="1"/>
  <c r="L69" i="10"/>
  <c r="L82" i="10"/>
  <c r="M82" i="10" s="1"/>
  <c r="L74" i="10"/>
  <c r="L55" i="10"/>
  <c r="M55" i="10" s="1"/>
  <c r="L59" i="10"/>
  <c r="M59" i="10" s="1"/>
  <c r="L85" i="10"/>
  <c r="M85" i="10" s="1"/>
  <c r="L58" i="10"/>
  <c r="M58" i="10" s="1"/>
  <c r="L63" i="10"/>
  <c r="M63" i="10" s="1"/>
  <c r="L71" i="10"/>
  <c r="M71" i="10" s="1"/>
  <c r="L78" i="10"/>
  <c r="M78" i="10" s="1"/>
  <c r="L77" i="10"/>
  <c r="M77" i="10" s="1"/>
  <c r="L75" i="10"/>
  <c r="M75" i="10" s="1"/>
  <c r="L54" i="10"/>
  <c r="M54" i="10" s="1"/>
  <c r="L76" i="10"/>
  <c r="M76" i="10" s="1"/>
  <c r="L80" i="10"/>
  <c r="M80" i="10" s="1"/>
  <c r="L79" i="10"/>
  <c r="M79" i="10" s="1"/>
  <c r="M87" i="10"/>
  <c r="L37" i="10"/>
  <c r="M37" i="10" s="1"/>
  <c r="L27" i="10"/>
  <c r="M27" i="10" s="1"/>
  <c r="L31" i="10"/>
  <c r="M31" i="10" s="1"/>
  <c r="L40" i="10"/>
  <c r="M40" i="10" s="1"/>
  <c r="L35" i="10"/>
  <c r="M35" i="10" s="1"/>
  <c r="L26" i="10"/>
  <c r="L32" i="10"/>
  <c r="L42" i="10"/>
  <c r="M42" i="10" s="1"/>
  <c r="L41" i="10"/>
  <c r="M41" i="10" s="1"/>
  <c r="L20" i="10"/>
  <c r="M20" i="10" s="1"/>
  <c r="L39" i="10"/>
  <c r="L33" i="10"/>
  <c r="M33" i="10" s="1"/>
  <c r="L44" i="10"/>
  <c r="M44" i="10" s="1"/>
  <c r="L38" i="10"/>
  <c r="M38" i="10" s="1"/>
  <c r="L34" i="10"/>
  <c r="L28" i="10"/>
  <c r="M28" i="10" s="1"/>
  <c r="L30" i="10"/>
  <c r="M30" i="10" s="1"/>
  <c r="L36" i="10"/>
  <c r="M36" i="10" s="1"/>
  <c r="L29" i="10"/>
  <c r="M29" i="10" s="1"/>
  <c r="J125" i="15"/>
  <c r="O125" i="15"/>
  <c r="K37" i="13"/>
  <c r="J37" i="13"/>
  <c r="L21" i="10"/>
  <c r="M21" i="10" s="1"/>
  <c r="L23" i="10"/>
  <c r="M23" i="10" s="1"/>
  <c r="L18" i="10"/>
  <c r="L6" i="10"/>
  <c r="M6" i="10" s="1"/>
  <c r="L5" i="10"/>
  <c r="L7" i="10"/>
  <c r="M7" i="10" s="1"/>
  <c r="L8" i="10"/>
  <c r="M8" i="10" s="1"/>
  <c r="L10" i="10"/>
  <c r="M10" i="10" s="1"/>
  <c r="L19" i="10"/>
  <c r="M19" i="10" s="1"/>
  <c r="L24" i="10"/>
  <c r="M24" i="10" s="1"/>
  <c r="L12" i="10"/>
  <c r="M12" i="10" s="1"/>
  <c r="L17" i="10"/>
  <c r="M17" i="10" s="1"/>
  <c r="L11" i="10"/>
  <c r="M11" i="10" s="1"/>
  <c r="E6" i="8"/>
  <c r="L22" i="10"/>
  <c r="M22" i="10" s="1"/>
  <c r="L9" i="10"/>
  <c r="M9" i="10" s="1"/>
  <c r="L25" i="10"/>
  <c r="M25" i="10" s="1"/>
  <c r="L16" i="10"/>
  <c r="M16" i="10" s="1"/>
  <c r="D8" i="7" l="1"/>
  <c r="L113" i="10" s="1"/>
  <c r="M113" i="10" s="1"/>
  <c r="M8" i="5"/>
  <c r="D13" i="7"/>
  <c r="L117" i="10" s="1"/>
  <c r="M117" i="10" s="1"/>
  <c r="D14" i="7"/>
  <c r="D12" i="7"/>
  <c r="H33" i="15"/>
  <c r="I33" i="15"/>
  <c r="F42" i="7"/>
  <c r="I29" i="15"/>
  <c r="H29" i="15"/>
  <c r="M69" i="10"/>
  <c r="I24" i="15" s="1"/>
  <c r="H24" i="15"/>
  <c r="H30" i="15"/>
  <c r="M101" i="10"/>
  <c r="I30" i="15" s="1"/>
  <c r="M61" i="10"/>
  <c r="I23" i="15" s="1"/>
  <c r="H23" i="15"/>
  <c r="M74" i="10"/>
  <c r="I28" i="15" s="1"/>
  <c r="H28" i="15"/>
  <c r="M72" i="10"/>
  <c r="I25" i="15" s="1"/>
  <c r="H25" i="15"/>
  <c r="M45" i="10"/>
  <c r="I22" i="15" s="1"/>
  <c r="H22" i="15"/>
  <c r="M26" i="10"/>
  <c r="H12" i="15"/>
  <c r="M34" i="10"/>
  <c r="I17" i="15" s="1"/>
  <c r="H17" i="15"/>
  <c r="M39" i="10"/>
  <c r="I18" i="15" s="1"/>
  <c r="H18" i="15"/>
  <c r="M32" i="10"/>
  <c r="I16" i="15" s="1"/>
  <c r="H16" i="15"/>
  <c r="I12" i="15"/>
  <c r="M5" i="10"/>
  <c r="I7" i="15" s="1"/>
  <c r="H7" i="15"/>
  <c r="M18" i="10"/>
  <c r="I8" i="15" s="1"/>
  <c r="H8" i="15"/>
  <c r="F6" i="8"/>
  <c r="G6" i="8" s="1"/>
  <c r="H6" i="8" s="1"/>
  <c r="C5" i="8"/>
  <c r="E5" i="8" s="1"/>
  <c r="E12" i="7" l="1"/>
  <c r="G12" i="7" s="1"/>
  <c r="H12" i="7" s="1"/>
  <c r="E8" i="7"/>
  <c r="G8" i="7" s="1"/>
  <c r="H8" i="7" s="1"/>
  <c r="E13" i="7"/>
  <c r="G13" i="7" s="1"/>
  <c r="H13" i="7" s="1"/>
  <c r="E14" i="7"/>
  <c r="G14" i="7" s="1"/>
  <c r="H14" i="7" s="1"/>
  <c r="H125" i="15"/>
  <c r="N17" i="15"/>
  <c r="N33" i="15"/>
  <c r="N49" i="15"/>
  <c r="N65" i="15"/>
  <c r="N81" i="15"/>
  <c r="N97" i="15"/>
  <c r="N113" i="15"/>
  <c r="N7" i="15"/>
  <c r="N23" i="15"/>
  <c r="N39" i="15"/>
  <c r="N55" i="15"/>
  <c r="N71" i="15"/>
  <c r="N87" i="15"/>
  <c r="N103" i="15"/>
  <c r="N119" i="15"/>
  <c r="N16" i="15"/>
  <c r="N32" i="15"/>
  <c r="N48" i="15"/>
  <c r="N64" i="15"/>
  <c r="N80" i="15"/>
  <c r="N96" i="15"/>
  <c r="N112" i="15"/>
  <c r="K112" i="15"/>
  <c r="K96" i="15"/>
  <c r="K80" i="15"/>
  <c r="K64" i="15"/>
  <c r="K48" i="15"/>
  <c r="K32" i="15"/>
  <c r="K16" i="15"/>
  <c r="M94" i="15"/>
  <c r="M30" i="15"/>
  <c r="N70" i="15"/>
  <c r="M17" i="15"/>
  <c r="M33" i="15"/>
  <c r="M49" i="15"/>
  <c r="M65" i="15"/>
  <c r="M81" i="15"/>
  <c r="M97" i="15"/>
  <c r="M113" i="15"/>
  <c r="M11" i="15"/>
  <c r="M27" i="15"/>
  <c r="M43" i="15"/>
  <c r="M59" i="15"/>
  <c r="M75" i="15"/>
  <c r="M91" i="15"/>
  <c r="M107" i="15"/>
  <c r="M123" i="15"/>
  <c r="M20" i="15"/>
  <c r="M36" i="15"/>
  <c r="M52" i="15"/>
  <c r="M68" i="15"/>
  <c r="M84" i="15"/>
  <c r="M100" i="15"/>
  <c r="M116" i="15"/>
  <c r="K123" i="15"/>
  <c r="K107" i="15"/>
  <c r="K91" i="15"/>
  <c r="K75" i="15"/>
  <c r="K59" i="15"/>
  <c r="K43" i="15"/>
  <c r="K27" i="15"/>
  <c r="K11" i="15"/>
  <c r="M74" i="15"/>
  <c r="M10" i="15"/>
  <c r="N66" i="15"/>
  <c r="K122" i="15"/>
  <c r="K106" i="15"/>
  <c r="K90" i="15"/>
  <c r="K74" i="15"/>
  <c r="K58" i="15"/>
  <c r="K42" i="15"/>
  <c r="K26" i="15"/>
  <c r="K10" i="15"/>
  <c r="M118" i="15"/>
  <c r="M54" i="15"/>
  <c r="N13" i="15"/>
  <c r="N37" i="15"/>
  <c r="N57" i="15"/>
  <c r="N77" i="15"/>
  <c r="N101" i="15"/>
  <c r="N121" i="15"/>
  <c r="N19" i="15"/>
  <c r="N43" i="15"/>
  <c r="N63" i="15"/>
  <c r="N83" i="15"/>
  <c r="N107" i="15"/>
  <c r="N8" i="15"/>
  <c r="N28" i="15"/>
  <c r="N52" i="15"/>
  <c r="N72" i="15"/>
  <c r="N92" i="15"/>
  <c r="N116" i="15"/>
  <c r="K124" i="15"/>
  <c r="K104" i="15"/>
  <c r="K84" i="15"/>
  <c r="K60" i="15"/>
  <c r="K40" i="15"/>
  <c r="K20" i="15"/>
  <c r="M110" i="15"/>
  <c r="N118" i="15"/>
  <c r="N38" i="15"/>
  <c r="M9" i="15"/>
  <c r="M29" i="15"/>
  <c r="M53" i="15"/>
  <c r="M73" i="15"/>
  <c r="M93" i="15"/>
  <c r="M117" i="15"/>
  <c r="M19" i="15"/>
  <c r="M39" i="15"/>
  <c r="M63" i="15"/>
  <c r="M83" i="15"/>
  <c r="M103" i="15"/>
  <c r="M8" i="15"/>
  <c r="M28" i="15"/>
  <c r="M48" i="15"/>
  <c r="M72" i="15"/>
  <c r="M92" i="15"/>
  <c r="M112" i="15"/>
  <c r="K119" i="15"/>
  <c r="K99" i="15"/>
  <c r="K79" i="15"/>
  <c r="K55" i="15"/>
  <c r="K35" i="15"/>
  <c r="K15" i="15"/>
  <c r="M90" i="15"/>
  <c r="N114" i="15"/>
  <c r="N34" i="15"/>
  <c r="K110" i="15"/>
  <c r="K86" i="15"/>
  <c r="K66" i="15"/>
  <c r="K46" i="15"/>
  <c r="K22" i="15"/>
  <c r="M102" i="15"/>
  <c r="M22" i="15"/>
  <c r="N78" i="15"/>
  <c r="N14" i="15"/>
  <c r="K121" i="15"/>
  <c r="K105" i="15"/>
  <c r="K89" i="15"/>
  <c r="K73" i="15"/>
  <c r="K57" i="15"/>
  <c r="K41" i="15"/>
  <c r="K25" i="15"/>
  <c r="K9" i="15"/>
  <c r="M66" i="15"/>
  <c r="N122" i="15"/>
  <c r="N58" i="15"/>
  <c r="M14" i="15"/>
  <c r="N21" i="15"/>
  <c r="N41" i="15"/>
  <c r="N61" i="15"/>
  <c r="N85" i="15"/>
  <c r="N105" i="15"/>
  <c r="N27" i="15"/>
  <c r="N47" i="15"/>
  <c r="N67" i="15"/>
  <c r="N91" i="15"/>
  <c r="N111" i="15"/>
  <c r="N12" i="15"/>
  <c r="N36" i="15"/>
  <c r="N56" i="15"/>
  <c r="N76" i="15"/>
  <c r="N100" i="15"/>
  <c r="N120" i="15"/>
  <c r="K120" i="15"/>
  <c r="K100" i="15"/>
  <c r="K76" i="15"/>
  <c r="K56" i="15"/>
  <c r="K36" i="15"/>
  <c r="K12" i="15"/>
  <c r="M78" i="15"/>
  <c r="N102" i="15"/>
  <c r="N22" i="15"/>
  <c r="M13" i="15"/>
  <c r="M37" i="15"/>
  <c r="M57" i="15"/>
  <c r="M77" i="15"/>
  <c r="M101" i="15"/>
  <c r="M121" i="15"/>
  <c r="M23" i="15"/>
  <c r="M47" i="15"/>
  <c r="M67" i="15"/>
  <c r="M87" i="15"/>
  <c r="M111" i="15"/>
  <c r="M12" i="15"/>
  <c r="M32" i="15"/>
  <c r="M56" i="15"/>
  <c r="M76" i="15"/>
  <c r="M96" i="15"/>
  <c r="M120" i="15"/>
  <c r="K115" i="15"/>
  <c r="K95" i="15"/>
  <c r="K71" i="15"/>
  <c r="K51" i="15"/>
  <c r="K31" i="15"/>
  <c r="K7" i="15"/>
  <c r="M58" i="15"/>
  <c r="N98" i="15"/>
  <c r="N18" i="15"/>
  <c r="K102" i="15"/>
  <c r="K82" i="15"/>
  <c r="K62" i="15"/>
  <c r="K38" i="15"/>
  <c r="K18" i="15"/>
  <c r="M86" i="15"/>
  <c r="N62" i="15"/>
  <c r="K117" i="15"/>
  <c r="N45" i="15"/>
  <c r="N89" i="15"/>
  <c r="N35" i="15"/>
  <c r="N79" i="15"/>
  <c r="N123" i="15"/>
  <c r="N44" i="15"/>
  <c r="N88" i="15"/>
  <c r="K88" i="15"/>
  <c r="K44" i="15"/>
  <c r="N54" i="15"/>
  <c r="M25" i="15"/>
  <c r="M69" i="15"/>
  <c r="M109" i="15"/>
  <c r="M35" i="15"/>
  <c r="M79" i="15"/>
  <c r="M119" i="15"/>
  <c r="M44" i="15"/>
  <c r="M88" i="15"/>
  <c r="K83" i="15"/>
  <c r="K39" i="15"/>
  <c r="M106" i="15"/>
  <c r="N50" i="15"/>
  <c r="K94" i="15"/>
  <c r="K50" i="15"/>
  <c r="N110" i="15"/>
  <c r="K109" i="15"/>
  <c r="K85" i="15"/>
  <c r="K65" i="15"/>
  <c r="K45" i="15"/>
  <c r="K21" i="15"/>
  <c r="M114" i="15"/>
  <c r="M34" i="15"/>
  <c r="N74" i="15"/>
  <c r="N73" i="15"/>
  <c r="K92" i="15"/>
  <c r="M21" i="15"/>
  <c r="M105" i="15"/>
  <c r="M115" i="15"/>
  <c r="M80" i="15"/>
  <c r="K87" i="15"/>
  <c r="K47" i="15"/>
  <c r="K98" i="15"/>
  <c r="K54" i="15"/>
  <c r="K14" i="15"/>
  <c r="N30" i="15"/>
  <c r="K69" i="15"/>
  <c r="N9" i="15"/>
  <c r="N53" i="15"/>
  <c r="N93" i="15"/>
  <c r="N11" i="15"/>
  <c r="N51" i="15"/>
  <c r="N95" i="15"/>
  <c r="N20" i="15"/>
  <c r="N60" i="15"/>
  <c r="N104" i="15"/>
  <c r="K116" i="15"/>
  <c r="K72" i="15"/>
  <c r="K28" i="15"/>
  <c r="M62" i="15"/>
  <c r="M41" i="15"/>
  <c r="M85" i="15"/>
  <c r="M7" i="15"/>
  <c r="M51" i="15"/>
  <c r="M95" i="15"/>
  <c r="M16" i="15"/>
  <c r="M60" i="15"/>
  <c r="M104" i="15"/>
  <c r="K111" i="15"/>
  <c r="K67" i="15"/>
  <c r="K23" i="15"/>
  <c r="M42" i="15"/>
  <c r="K118" i="15"/>
  <c r="K78" i="15"/>
  <c r="K34" i="15"/>
  <c r="M70" i="15"/>
  <c r="N94" i="15"/>
  <c r="K101" i="15"/>
  <c r="K81" i="15"/>
  <c r="K61" i="15"/>
  <c r="K37" i="15"/>
  <c r="K17" i="15"/>
  <c r="M98" i="15"/>
  <c r="M18" i="15"/>
  <c r="N42" i="15"/>
  <c r="N84" i="15"/>
  <c r="N82" i="15"/>
  <c r="K113" i="15"/>
  <c r="K49" i="15"/>
  <c r="M50" i="15"/>
  <c r="N25" i="15"/>
  <c r="N69" i="15"/>
  <c r="N109" i="15"/>
  <c r="N15" i="15"/>
  <c r="N59" i="15"/>
  <c r="N99" i="15"/>
  <c r="N24" i="15"/>
  <c r="N68" i="15"/>
  <c r="N108" i="15"/>
  <c r="K108" i="15"/>
  <c r="K68" i="15"/>
  <c r="K24" i="15"/>
  <c r="M46" i="15"/>
  <c r="M45" i="15"/>
  <c r="M89" i="15"/>
  <c r="M15" i="15"/>
  <c r="M55" i="15"/>
  <c r="M99" i="15"/>
  <c r="M24" i="15"/>
  <c r="M64" i="15"/>
  <c r="M108" i="15"/>
  <c r="K103" i="15"/>
  <c r="K63" i="15"/>
  <c r="K19" i="15"/>
  <c r="M26" i="15"/>
  <c r="K114" i="15"/>
  <c r="K70" i="15"/>
  <c r="K30" i="15"/>
  <c r="M38" i="15"/>
  <c r="N46" i="15"/>
  <c r="K97" i="15"/>
  <c r="K77" i="15"/>
  <c r="K53" i="15"/>
  <c r="K33" i="15"/>
  <c r="K13" i="15"/>
  <c r="M82" i="15"/>
  <c r="N106" i="15"/>
  <c r="N26" i="15"/>
  <c r="N29" i="15"/>
  <c r="N117" i="15"/>
  <c r="N31" i="15"/>
  <c r="N75" i="15"/>
  <c r="N115" i="15"/>
  <c r="N40" i="15"/>
  <c r="N124" i="15"/>
  <c r="K52" i="15"/>
  <c r="K8" i="15"/>
  <c r="N86" i="15"/>
  <c r="M61" i="15"/>
  <c r="M31" i="15"/>
  <c r="M71" i="15"/>
  <c r="M40" i="15"/>
  <c r="M124" i="15"/>
  <c r="M122" i="15"/>
  <c r="K93" i="15"/>
  <c r="K29" i="15"/>
  <c r="N90" i="15"/>
  <c r="N10" i="15"/>
  <c r="L14" i="15"/>
  <c r="L120" i="15"/>
  <c r="L102" i="15"/>
  <c r="L38" i="15"/>
  <c r="L115" i="15"/>
  <c r="L82" i="15"/>
  <c r="L18" i="15"/>
  <c r="L114" i="15"/>
  <c r="L78" i="15"/>
  <c r="I125" i="15"/>
  <c r="L116" i="15"/>
  <c r="L70" i="15"/>
  <c r="L111" i="15"/>
  <c r="L50" i="15"/>
  <c r="L122" i="15"/>
  <c r="L94" i="15"/>
  <c r="L17" i="15"/>
  <c r="L33" i="15"/>
  <c r="L49" i="15"/>
  <c r="L65" i="15"/>
  <c r="L81" i="15"/>
  <c r="L97" i="15"/>
  <c r="L15" i="15"/>
  <c r="L31" i="15"/>
  <c r="L47" i="15"/>
  <c r="L63" i="15"/>
  <c r="L79" i="15"/>
  <c r="L95" i="15"/>
  <c r="L12" i="15"/>
  <c r="L28" i="15"/>
  <c r="L44" i="15"/>
  <c r="L60" i="15"/>
  <c r="L76" i="15"/>
  <c r="L92" i="15"/>
  <c r="L113" i="15"/>
  <c r="L74" i="15"/>
  <c r="L10" i="15"/>
  <c r="L112" i="15"/>
  <c r="L54" i="15"/>
  <c r="L107" i="15"/>
  <c r="L34" i="15"/>
  <c r="L118" i="15"/>
  <c r="L62" i="15"/>
  <c r="L21" i="15"/>
  <c r="L37" i="15"/>
  <c r="L53" i="15"/>
  <c r="L69" i="15"/>
  <c r="L85" i="15"/>
  <c r="L101" i="15"/>
  <c r="L19" i="15"/>
  <c r="L35" i="15"/>
  <c r="L51" i="15"/>
  <c r="L67" i="15"/>
  <c r="L83" i="15"/>
  <c r="L99" i="15"/>
  <c r="L16" i="15"/>
  <c r="L32" i="15"/>
  <c r="L48" i="15"/>
  <c r="L64" i="15"/>
  <c r="L80" i="15"/>
  <c r="L96" i="15"/>
  <c r="L124" i="15"/>
  <c r="L119" i="15"/>
  <c r="L30" i="15"/>
  <c r="L29" i="15"/>
  <c r="L61" i="15"/>
  <c r="L93" i="15"/>
  <c r="L27" i="15"/>
  <c r="L59" i="15"/>
  <c r="L91" i="15"/>
  <c r="L24" i="15"/>
  <c r="L56" i="15"/>
  <c r="L88" i="15"/>
  <c r="L121" i="15"/>
  <c r="L90" i="15"/>
  <c r="L22" i="15"/>
  <c r="L123" i="15"/>
  <c r="L57" i="15"/>
  <c r="L55" i="15"/>
  <c r="L87" i="15"/>
  <c r="L84" i="15"/>
  <c r="L108" i="15"/>
  <c r="L98" i="15"/>
  <c r="L110" i="15"/>
  <c r="L9" i="15"/>
  <c r="L41" i="15"/>
  <c r="L73" i="15"/>
  <c r="L7" i="15"/>
  <c r="L39" i="15"/>
  <c r="L71" i="15"/>
  <c r="L103" i="15"/>
  <c r="L36" i="15"/>
  <c r="L68" i="15"/>
  <c r="L100" i="15"/>
  <c r="L117" i="15"/>
  <c r="L58" i="15"/>
  <c r="L46" i="15"/>
  <c r="L25" i="15"/>
  <c r="L23" i="15"/>
  <c r="L20" i="15"/>
  <c r="L105" i="15"/>
  <c r="L86" i="15"/>
  <c r="L66" i="15"/>
  <c r="L106" i="15"/>
  <c r="L13" i="15"/>
  <c r="L45" i="15"/>
  <c r="L77" i="15"/>
  <c r="L11" i="15"/>
  <c r="L43" i="15"/>
  <c r="L75" i="15"/>
  <c r="L8" i="15"/>
  <c r="L40" i="15"/>
  <c r="L72" i="15"/>
  <c r="L104" i="15"/>
  <c r="L109" i="15"/>
  <c r="L42" i="15"/>
  <c r="L89" i="15"/>
  <c r="L52" i="15"/>
  <c r="L26" i="15"/>
  <c r="F5" i="8"/>
  <c r="L125" i="15" l="1"/>
  <c r="M125" i="15"/>
  <c r="K125" i="15"/>
  <c r="N125" i="15"/>
  <c r="G5" i="8"/>
  <c r="H5" i="8" s="1"/>
  <c r="C15" i="8"/>
  <c r="F15" i="8" s="1"/>
  <c r="G15" i="8" s="1"/>
  <c r="H15" i="8" s="1"/>
  <c r="C19" i="8"/>
  <c r="E19" i="8" s="1"/>
  <c r="C13" i="8"/>
  <c r="F13" i="8" s="1"/>
  <c r="G13" i="8" s="1"/>
  <c r="H13" i="8" s="1"/>
  <c r="C12" i="8"/>
  <c r="F12" i="8" s="1"/>
  <c r="G12" i="8" s="1"/>
  <c r="H12" i="8" s="1"/>
  <c r="C8" i="8"/>
  <c r="E8" i="8" s="1"/>
  <c r="C20" i="8"/>
  <c r="E20" i="8" s="1"/>
  <c r="C16" i="8"/>
  <c r="F16" i="8" s="1"/>
  <c r="G16" i="8" s="1"/>
  <c r="H16" i="8" s="1"/>
  <c r="C9" i="8"/>
  <c r="F9" i="8" s="1"/>
  <c r="G9" i="8" s="1"/>
  <c r="H9" i="8" s="1"/>
  <c r="C18" i="8"/>
  <c r="F18" i="8" s="1"/>
  <c r="G18" i="8" s="1"/>
  <c r="H18" i="8" s="1"/>
  <c r="C10" i="8"/>
  <c r="F10" i="8" s="1"/>
  <c r="G10" i="8" s="1"/>
  <c r="H10" i="8" s="1"/>
  <c r="C14" i="8"/>
  <c r="F14" i="8" s="1"/>
  <c r="G14" i="8" s="1"/>
  <c r="H14" i="8" s="1"/>
  <c r="C7" i="8"/>
  <c r="E7" i="8" s="1"/>
  <c r="C17" i="8"/>
  <c r="E17" i="8" s="1"/>
  <c r="E18" i="8" l="1"/>
  <c r="E14" i="8"/>
  <c r="E10" i="8"/>
  <c r="E16" i="8"/>
  <c r="E9" i="8"/>
  <c r="F8" i="8"/>
  <c r="G8" i="8" s="1"/>
  <c r="H8" i="8" s="1"/>
  <c r="F7" i="8"/>
  <c r="G7" i="8" s="1"/>
  <c r="H7" i="8" s="1"/>
  <c r="F17" i="8"/>
  <c r="G17" i="8" s="1"/>
  <c r="H17" i="8" s="1"/>
  <c r="E13" i="8"/>
  <c r="E15" i="8"/>
  <c r="F19" i="8"/>
  <c r="G19" i="8" s="1"/>
  <c r="H19" i="8" s="1"/>
  <c r="F20" i="8"/>
  <c r="G20" i="8" s="1"/>
  <c r="H20" i="8" s="1"/>
  <c r="E12" i="8"/>
  <c r="E21" i="8" l="1"/>
  <c r="G21" i="8"/>
  <c r="F21" i="8"/>
  <c r="I37" i="1"/>
  <c r="J15" i="5" s="1"/>
  <c r="L15" i="5" s="1"/>
  <c r="D15" i="7" l="1"/>
  <c r="M15" i="5"/>
  <c r="E15" i="7" s="1"/>
  <c r="G15" i="7" s="1"/>
  <c r="H15" i="7" s="1"/>
  <c r="D21" i="7"/>
  <c r="I43" i="1"/>
  <c r="J5" i="5" l="1"/>
  <c r="L5" i="5" s="1"/>
  <c r="E21" i="7"/>
  <c r="G21" i="7"/>
  <c r="H21" i="7" s="1"/>
  <c r="I41" i="1" l="1"/>
  <c r="J7" i="5" s="1"/>
  <c r="L7" i="5" s="1"/>
  <c r="M7" i="5" s="1"/>
  <c r="M5" i="5"/>
  <c r="D5" i="7"/>
  <c r="D7" i="7" l="1"/>
  <c r="L14" i="10" s="1"/>
  <c r="E5" i="7"/>
  <c r="G5" i="7"/>
  <c r="M14" i="10" l="1"/>
  <c r="M137" i="10" s="1"/>
  <c r="D5" i="14" s="1"/>
  <c r="L137" i="10"/>
  <c r="C5" i="14" s="1"/>
  <c r="E7" i="7"/>
  <c r="G7" i="7"/>
  <c r="H7" i="7" s="1"/>
  <c r="H5" i="7"/>
  <c r="E5" i="14" l="1"/>
  <c r="F5" i="14"/>
  <c r="O5" i="14" l="1"/>
  <c r="O8" i="14"/>
  <c r="O7" i="14"/>
  <c r="O9" i="14"/>
  <c r="O6" i="14"/>
  <c r="O10" i="14"/>
  <c r="O11" i="14"/>
  <c r="O12" i="14" l="1"/>
  <c r="D9" i="7"/>
  <c r="D25" i="7"/>
  <c r="G25" i="7"/>
  <c r="H25" i="7" s="1"/>
  <c r="E9" i="7"/>
  <c r="G9" i="7"/>
  <c r="I6" i="1"/>
  <c r="E25" i="7"/>
  <c r="J19" i="5" l="1"/>
  <c r="L19" i="5" s="1"/>
  <c r="I263" i="1"/>
  <c r="H9" i="7"/>
  <c r="M19" i="5" l="1"/>
  <c r="E19" i="7" s="1"/>
  <c r="G19" i="7" s="1"/>
  <c r="H19" i="7" s="1"/>
  <c r="H42" i="7" s="1"/>
  <c r="D19" i="7"/>
  <c r="D42" i="7" s="1"/>
  <c r="E42" i="7" l="1"/>
  <c r="G4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G4" authorId="0" shapeId="0" xr:uid="{56E70C5A-16E0-4FD0-9F0D-E225F72D13C1}">
      <text>
        <r>
          <rPr>
            <sz val="9"/>
            <color indexed="81"/>
            <rFont val="Segoe UI"/>
            <family val="2"/>
          </rPr>
          <t>Valor que cada produto vai ter que cobrir para pagar os custos fixos mensais</t>
        </r>
      </text>
    </comment>
    <comment ref="L4" authorId="0" shapeId="0" xr:uid="{633D248A-571E-4933-A5B9-EFED3CA0CBDC}">
      <text>
        <r>
          <rPr>
            <sz val="9"/>
            <color indexed="81"/>
            <rFont val="Segoe UI"/>
            <family val="2"/>
          </rPr>
          <t xml:space="preserve">Incluir o </t>
        </r>
        <r>
          <rPr>
            <b/>
            <sz val="9"/>
            <color indexed="81"/>
            <rFont val="Segoe UI"/>
            <family val="2"/>
          </rPr>
          <t xml:space="preserve">Rateio de Custos Fixos </t>
        </r>
        <r>
          <rPr>
            <sz val="9"/>
            <color indexed="81"/>
            <rFont val="Segoe UI"/>
            <family val="2"/>
          </rPr>
          <t xml:space="preserve">no cálculo vai garantir que o preço de cada produto cubra todos os custos que a empresa tem, melhorando a previsão do </t>
        </r>
        <r>
          <rPr>
            <b/>
            <sz val="9"/>
            <color indexed="81"/>
            <rFont val="Segoe UI"/>
            <family val="2"/>
          </rPr>
          <t xml:space="preserve">Lucro Real, </t>
        </r>
        <r>
          <rPr>
            <sz val="9"/>
            <color indexed="81"/>
            <rFont val="Segoe UI"/>
            <family val="2"/>
          </rPr>
          <t xml:space="preserve">mas como consequência </t>
        </r>
        <r>
          <rPr>
            <b/>
            <sz val="9"/>
            <color indexed="81"/>
            <rFont val="Segoe UI"/>
            <family val="2"/>
          </rPr>
          <t xml:space="preserve">itens que têm o custo muito baixo vão ficar caros.
Exemplo:
</t>
        </r>
        <r>
          <rPr>
            <sz val="9"/>
            <color indexed="81"/>
            <rFont val="Segoe UI"/>
            <family val="2"/>
          </rPr>
          <t xml:space="preserve">Rateio de C.F: </t>
        </r>
        <r>
          <rPr>
            <b/>
            <sz val="9"/>
            <color indexed="81"/>
            <rFont val="Segoe UI"/>
            <family val="2"/>
          </rPr>
          <t>5 R$</t>
        </r>
        <r>
          <rPr>
            <sz val="9"/>
            <color indexed="81"/>
            <rFont val="Segoe UI"/>
            <family val="2"/>
          </rPr>
          <t xml:space="preserve">
Preço de venda de uma balinha: </t>
        </r>
        <r>
          <rPr>
            <b/>
            <sz val="9"/>
            <color indexed="81"/>
            <rFont val="Segoe UI"/>
            <family val="2"/>
          </rPr>
          <t>1 R$</t>
        </r>
        <r>
          <rPr>
            <sz val="9"/>
            <color indexed="81"/>
            <rFont val="Segoe UI"/>
            <family val="2"/>
          </rPr>
          <t xml:space="preserve">
Preço de venda reajustado = 5 + 1 = </t>
        </r>
        <r>
          <rPr>
            <b/>
            <sz val="9"/>
            <color indexed="81"/>
            <rFont val="Segoe UI"/>
            <family val="2"/>
          </rPr>
          <t>6 R$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I4" authorId="0" shapeId="0" xr:uid="{FB0CAF3E-91CD-4888-9350-1C03DE514097}">
      <text>
        <r>
          <rPr>
            <b/>
            <sz val="9"/>
            <color indexed="81"/>
            <rFont val="Segoe UI"/>
            <family val="2"/>
          </rPr>
          <t>Categoria A:</t>
        </r>
        <r>
          <rPr>
            <sz val="9"/>
            <color indexed="81"/>
            <rFont val="Segoe UI"/>
            <family val="2"/>
          </rPr>
          <t xml:space="preserve"> Itens que a margem de lucro dá muito retorno mesmo com uma porcentagem baixa.
</t>
        </r>
        <r>
          <rPr>
            <b/>
            <sz val="9"/>
            <color indexed="81"/>
            <rFont val="Segoe UI"/>
            <family val="2"/>
          </rPr>
          <t xml:space="preserve">Categoria B: </t>
        </r>
        <r>
          <rPr>
            <sz val="9"/>
            <color indexed="81"/>
            <rFont val="Segoe UI"/>
            <family val="2"/>
          </rPr>
          <t xml:space="preserve">Itens essenciais e que são o foco da loja (lucro médio, fluxo médio e o item se paga).
</t>
        </r>
        <r>
          <rPr>
            <b/>
            <sz val="9"/>
            <color indexed="81"/>
            <rFont val="Segoe UI"/>
            <family val="2"/>
          </rPr>
          <t xml:space="preserve">Categoria C: </t>
        </r>
        <r>
          <rPr>
            <sz val="9"/>
            <color indexed="81"/>
            <rFont val="Segoe UI"/>
            <family val="2"/>
          </rPr>
          <t xml:space="preserve">Itens que precisa ser vendido em grandes quantidades para dar lucro.
</t>
        </r>
        <r>
          <rPr>
            <b/>
            <sz val="9"/>
            <color indexed="81"/>
            <rFont val="Segoe UI"/>
            <family val="2"/>
          </rPr>
          <t xml:space="preserve">Exemplos:
Cat. A: </t>
        </r>
        <r>
          <rPr>
            <sz val="9"/>
            <color indexed="81"/>
            <rFont val="Segoe UI"/>
            <family val="2"/>
          </rPr>
          <t xml:space="preserve">Brownie gourmet.
</t>
        </r>
        <r>
          <rPr>
            <b/>
            <sz val="9"/>
            <color indexed="81"/>
            <rFont val="Segoe UI"/>
            <family val="2"/>
          </rPr>
          <t>Cat. B:</t>
        </r>
        <r>
          <rPr>
            <sz val="9"/>
            <color indexed="81"/>
            <rFont val="Segoe UI"/>
            <family val="2"/>
          </rPr>
          <t xml:space="preserve"> Brownie comum e bolo.
</t>
        </r>
        <r>
          <rPr>
            <b/>
            <sz val="9"/>
            <color indexed="81"/>
            <rFont val="Segoe UI"/>
            <family val="2"/>
          </rPr>
          <t xml:space="preserve">Cat. C: </t>
        </r>
        <r>
          <rPr>
            <sz val="9"/>
            <color indexed="81"/>
            <rFont val="Segoe UI"/>
            <family val="2"/>
          </rPr>
          <t xml:space="preserve">Balas, pirulitos e brindes.
</t>
        </r>
      </text>
    </comment>
    <comment ref="M4" authorId="0" shapeId="0" xr:uid="{E3A12B7D-5EC1-40DC-AAFB-0C480B188578}">
      <text>
        <r>
          <rPr>
            <b/>
            <sz val="9"/>
            <color indexed="81"/>
            <rFont val="Segoe UI"/>
            <family val="2"/>
          </rPr>
          <t>Custo de Produção + Despesas Variáveis</t>
        </r>
      </text>
    </comment>
  </commentList>
</comments>
</file>

<file path=xl/sharedStrings.xml><?xml version="1.0" encoding="utf-8"?>
<sst xmlns="http://schemas.openxmlformats.org/spreadsheetml/2006/main" count="631" uniqueCount="252">
  <si>
    <t>item</t>
  </si>
  <si>
    <t>qtd.</t>
  </si>
  <si>
    <t>medida</t>
  </si>
  <si>
    <t>preço</t>
  </si>
  <si>
    <t>ID</t>
  </si>
  <si>
    <t>quantidade</t>
  </si>
  <si>
    <t>Ovos</t>
  </si>
  <si>
    <t>Açúcar</t>
  </si>
  <si>
    <t>Margarina</t>
  </si>
  <si>
    <t>Chocolate em pó</t>
  </si>
  <si>
    <t>Farinha de Trigo</t>
  </si>
  <si>
    <t>Total</t>
  </si>
  <si>
    <t>Máximo de vendas</t>
  </si>
  <si>
    <t>Mínimo de vendas</t>
  </si>
  <si>
    <t>Faturamento Alvo</t>
  </si>
  <si>
    <t>Faturamento Mínimo</t>
  </si>
  <si>
    <t>Previsão de Vendas</t>
  </si>
  <si>
    <t>Brownie Simples</t>
  </si>
  <si>
    <t>Descrição</t>
  </si>
  <si>
    <t>Valor</t>
  </si>
  <si>
    <t>Porcentagem</t>
  </si>
  <si>
    <t>Item</t>
  </si>
  <si>
    <t>Variação</t>
  </si>
  <si>
    <t>Tipo</t>
  </si>
  <si>
    <t>Cat. ABC</t>
  </si>
  <si>
    <t>Cartão</t>
  </si>
  <si>
    <t>Desperdício</t>
  </si>
  <si>
    <t>Despesas Variáveis</t>
  </si>
  <si>
    <t>Rateio de Custos Fixos</t>
  </si>
  <si>
    <t>Margem Cat. A</t>
  </si>
  <si>
    <t>Margem Cat. B</t>
  </si>
  <si>
    <t>Margem Cat. C</t>
  </si>
  <si>
    <t>C.F nos custos totais?</t>
  </si>
  <si>
    <t>Sim</t>
  </si>
  <si>
    <t>Preço de Custo</t>
  </si>
  <si>
    <t>Preço de Venda</t>
  </si>
  <si>
    <t>Lucro Bruto</t>
  </si>
  <si>
    <t>Lucro Líquido</t>
  </si>
  <si>
    <t>Custo de Produção (1 un.)</t>
  </si>
  <si>
    <t>Custo Total (1 un.)</t>
  </si>
  <si>
    <t>Custo do Lote</t>
  </si>
  <si>
    <t>Un. Por Lote</t>
  </si>
  <si>
    <t>Qtd. Vendida</t>
  </si>
  <si>
    <t>Faturamento</t>
  </si>
  <si>
    <t>Incluir C.F?</t>
  </si>
  <si>
    <t>Preço Definitivo</t>
  </si>
  <si>
    <t>Quantidade por pacote</t>
  </si>
  <si>
    <t>Medida</t>
  </si>
  <si>
    <t>Quantidade</t>
  </si>
  <si>
    <t>Estimativa</t>
  </si>
  <si>
    <t>Qtd.</t>
  </si>
  <si>
    <t>Produto</t>
  </si>
  <si>
    <t>Ingredientes</t>
  </si>
  <si>
    <t>Configurações da Precificação</t>
  </si>
  <si>
    <t>Variáveis</t>
  </si>
  <si>
    <t>Unidades</t>
  </si>
  <si>
    <t>Medidas</t>
  </si>
  <si>
    <t>Quilos</t>
  </si>
  <si>
    <t>Gramas</t>
  </si>
  <si>
    <t>Preço</t>
  </si>
  <si>
    <t>Quantidade Produzida</t>
  </si>
  <si>
    <t>Simulação de Pedido</t>
  </si>
  <si>
    <t>Pedido Mínimo</t>
  </si>
  <si>
    <t>produto</t>
  </si>
  <si>
    <t>Total Arredondado</t>
  </si>
  <si>
    <t>Pedido</t>
  </si>
  <si>
    <t>Arredondar</t>
  </si>
  <si>
    <t>Compras</t>
  </si>
  <si>
    <t>Método de Pagamento</t>
  </si>
  <si>
    <t>Métodos de Pagamento</t>
  </si>
  <si>
    <t>Método</t>
  </si>
  <si>
    <t>Desconto</t>
  </si>
  <si>
    <t>Acréscimo</t>
  </si>
  <si>
    <t>Pix</t>
  </si>
  <si>
    <t>Dinheiro</t>
  </si>
  <si>
    <t>Débito</t>
  </si>
  <si>
    <t>Crédito</t>
  </si>
  <si>
    <t>Doação</t>
  </si>
  <si>
    <t>Recebimento</t>
  </si>
  <si>
    <t>data</t>
  </si>
  <si>
    <t>Creme de Leite</t>
  </si>
  <si>
    <t>Liga Neutra</t>
  </si>
  <si>
    <t>Emustab</t>
  </si>
  <si>
    <t>Leite Integral</t>
  </si>
  <si>
    <t>Litros</t>
  </si>
  <si>
    <t>ML</t>
  </si>
  <si>
    <t>Leite Condensado</t>
  </si>
  <si>
    <t>Leite em Pó</t>
  </si>
  <si>
    <t>Ovomaltine</t>
  </si>
  <si>
    <t>Paçoca</t>
  </si>
  <si>
    <t>Nutella</t>
  </si>
  <si>
    <t>Oreo</t>
  </si>
  <si>
    <t>Banana</t>
  </si>
  <si>
    <t>Maracujá</t>
  </si>
  <si>
    <t>Leite Condensado Un.</t>
  </si>
  <si>
    <t>Morango</t>
  </si>
  <si>
    <t>Amendoim</t>
  </si>
  <si>
    <t>Brownie Gourmet Oreo</t>
  </si>
  <si>
    <t>Brownie Gourmet Ninho + Nutella</t>
  </si>
  <si>
    <t>Sorvete Banana</t>
  </si>
  <si>
    <t>Sorvete Morango</t>
  </si>
  <si>
    <t>Sorvete Maracujá</t>
  </si>
  <si>
    <t>Sorvete Nutella</t>
  </si>
  <si>
    <t>Sorvete Ovo Maltine</t>
  </si>
  <si>
    <t>Sorvete Paçoca</t>
  </si>
  <si>
    <t>Sorvete Oreo</t>
  </si>
  <si>
    <t>Sorvete Ninho</t>
  </si>
  <si>
    <t>Adicional 1</t>
  </si>
  <si>
    <t>Adicional 2</t>
  </si>
  <si>
    <t>Adicional 3</t>
  </si>
  <si>
    <t>Ninho</t>
  </si>
  <si>
    <t>Doce de Leite</t>
  </si>
  <si>
    <t>Brownie Gourmet Doce de Leite</t>
  </si>
  <si>
    <t>Base do Sorvete</t>
  </si>
  <si>
    <t>Não</t>
  </si>
  <si>
    <t>Data</t>
  </si>
  <si>
    <t>1 leite condensado pra 3 sabores</t>
  </si>
  <si>
    <t>50 ml creme de leite pra 2 sabores</t>
  </si>
  <si>
    <t>3,5 unidades de 7cm</t>
  </si>
  <si>
    <t>3 oreo triturados para 1 sabor</t>
  </si>
  <si>
    <t>1 oreo triturado para 1 brownie</t>
  </si>
  <si>
    <t>3 paçoca para 1 sabor</t>
  </si>
  <si>
    <t>1 paçoca triturada para 3 brownie</t>
  </si>
  <si>
    <t>1 xunxada de nutella da 4 brownie de coração</t>
  </si>
  <si>
    <t>60 gramas de leite ninho para 1 sabor</t>
  </si>
  <si>
    <t>131 cada sabor</t>
  </si>
  <si>
    <t>25 cada sabor</t>
  </si>
  <si>
    <t>15 cada sabor</t>
  </si>
  <si>
    <t>1 oreo inteiro para 1 brownie</t>
  </si>
  <si>
    <t>60 gramas de doce de leite 1 sabor</t>
  </si>
  <si>
    <t>45 margarina gramas pra 3 sabores</t>
  </si>
  <si>
    <t>Porções</t>
  </si>
  <si>
    <t>Gás</t>
  </si>
  <si>
    <t>Energia</t>
  </si>
  <si>
    <t>Rateio de C.F</t>
  </si>
  <si>
    <t xml:space="preserve"> </t>
  </si>
  <si>
    <t>Reestoque</t>
  </si>
  <si>
    <t>Custos Fixos</t>
  </si>
  <si>
    <t>valor</t>
  </si>
  <si>
    <t>Rótulos de Linha</t>
  </si>
  <si>
    <t>(vazio)</t>
  </si>
  <si>
    <t>Total Geral</t>
  </si>
  <si>
    <t>Soma de Qtd.</t>
  </si>
  <si>
    <t>Entradas</t>
  </si>
  <si>
    <t>Saídas</t>
  </si>
  <si>
    <t>Bruto</t>
  </si>
  <si>
    <t>Líquido</t>
  </si>
  <si>
    <t>Investimento</t>
  </si>
  <si>
    <t>Pró-Labore</t>
  </si>
  <si>
    <t>Caixa</t>
  </si>
  <si>
    <t>Vendas</t>
  </si>
  <si>
    <t>Óleo</t>
  </si>
  <si>
    <t>Mão de obra</t>
  </si>
  <si>
    <t>Das MEI</t>
  </si>
  <si>
    <t>Água</t>
  </si>
  <si>
    <t>Cebola Nacional</t>
  </si>
  <si>
    <t>Polpa Cupuaçú</t>
  </si>
  <si>
    <t>Tomate Salada</t>
  </si>
  <si>
    <t>Tomate Italiano</t>
  </si>
  <si>
    <t>Abacaxi</t>
  </si>
  <si>
    <t>Alface</t>
  </si>
  <si>
    <t>Mandioca Descascada</t>
  </si>
  <si>
    <t>Cebolinha e Salsa</t>
  </si>
  <si>
    <t>Pimentão Verde</t>
  </si>
  <si>
    <t>Bacon</t>
  </si>
  <si>
    <t>Barbecue</t>
  </si>
  <si>
    <t>MLs</t>
  </si>
  <si>
    <t>Mostarda</t>
  </si>
  <si>
    <t>Ketchup</t>
  </si>
  <si>
    <t>Ketchup Sachê</t>
  </si>
  <si>
    <t>Maionese Sachê</t>
  </si>
  <si>
    <t>Mostarda Sachê</t>
  </si>
  <si>
    <t>Picles Conserva</t>
  </si>
  <si>
    <t>Vinagre Álcool</t>
  </si>
  <si>
    <t>Maionese</t>
  </si>
  <si>
    <t>Batata Palha</t>
  </si>
  <si>
    <t>Leite</t>
  </si>
  <si>
    <t>Carvão</t>
  </si>
  <si>
    <t>Queijo Coalho</t>
  </si>
  <si>
    <t>Queijo Parmesão</t>
  </si>
  <si>
    <t>Farofa Temperada</t>
  </si>
  <si>
    <t>Coca Cola 2,5</t>
  </si>
  <si>
    <t>Coca Cola Lata 350</t>
  </si>
  <si>
    <t>Coca Cola Zero Lata 350</t>
  </si>
  <si>
    <t>Guaraná Lata 350</t>
  </si>
  <si>
    <t>Funada 2</t>
  </si>
  <si>
    <t>Original Garrafa 300</t>
  </si>
  <si>
    <t>Brahma Chopp 350</t>
  </si>
  <si>
    <t>Amstel 350</t>
  </si>
  <si>
    <t>Heineken L.N 330</t>
  </si>
  <si>
    <t>Skol 269</t>
  </si>
  <si>
    <t>Coca Cola Zero 600</t>
  </si>
  <si>
    <t>Fanta 510</t>
  </si>
  <si>
    <t>Fanta 2</t>
  </si>
  <si>
    <t>Espetos Bovinos</t>
  </si>
  <si>
    <t>Pão Baguete 15cm</t>
  </si>
  <si>
    <t>Carro Chefe Simples</t>
  </si>
  <si>
    <t>Carro Chefe Com Cheddar</t>
  </si>
  <si>
    <t>Chefão</t>
  </si>
  <si>
    <t>Espeto Completo</t>
  </si>
  <si>
    <t>Adc. Batata Palha</t>
  </si>
  <si>
    <t>Adc. Cheddar</t>
  </si>
  <si>
    <t>Adc. Mussarela</t>
  </si>
  <si>
    <t>Adc. Parmesão</t>
  </si>
  <si>
    <t>Adc. Queijo Ralado</t>
  </si>
  <si>
    <t>Adc. Picles</t>
  </si>
  <si>
    <t>Adc. Requeijão Cremoso</t>
  </si>
  <si>
    <t>Adc. Maionese de Bacon</t>
  </si>
  <si>
    <t>Pão Baguete 30cm (comper)</t>
  </si>
  <si>
    <t>Espeto Simples</t>
  </si>
  <si>
    <t>Arroz</t>
  </si>
  <si>
    <t>Porç. Vinagrete</t>
  </si>
  <si>
    <t>Porç. Arroz</t>
  </si>
  <si>
    <t>Porç. Mandioca</t>
  </si>
  <si>
    <t>Alho</t>
  </si>
  <si>
    <t>Óleo de soja</t>
  </si>
  <si>
    <t>Porç. Farofa</t>
  </si>
  <si>
    <t xml:space="preserve">Adc. Espeto Medalhão de Frango </t>
  </si>
  <si>
    <t>Adc. Espeto de Frango</t>
  </si>
  <si>
    <t>Adc. Espeto Linguiça</t>
  </si>
  <si>
    <t>Adc. Espeto de Queijo Coalho</t>
  </si>
  <si>
    <t>Adc. Espeto de Medalhão de Queijo</t>
  </si>
  <si>
    <t>Adc. Espeto Bovino</t>
  </si>
  <si>
    <t>Cheddar</t>
  </si>
  <si>
    <t>Queijo Mussarela</t>
  </si>
  <si>
    <t>Queijo Ralado</t>
  </si>
  <si>
    <t>Pão de Alho</t>
  </si>
  <si>
    <t>Suco de Cupuaçú 500ML</t>
  </si>
  <si>
    <t>Adc. Azeitona Preta</t>
  </si>
  <si>
    <t>Azeitona Preta</t>
  </si>
  <si>
    <t>Espetos Formadora</t>
  </si>
  <si>
    <t>Espetos Frango</t>
  </si>
  <si>
    <t>Espetos Linguiça</t>
  </si>
  <si>
    <t>Espetos Suino</t>
  </si>
  <si>
    <t>Espetos De Coração</t>
  </si>
  <si>
    <t>Espetos Kafta</t>
  </si>
  <si>
    <t>Espetos de Queijo</t>
  </si>
  <si>
    <t>Espetos Medalhão de Carne/Frango</t>
  </si>
  <si>
    <t>Espetos Medalhão de Queijo/Romeu e Julieta</t>
  </si>
  <si>
    <t>Espetos de Cupim</t>
  </si>
  <si>
    <t>Embalagem</t>
  </si>
  <si>
    <t>Sacolas Plásticas P</t>
  </si>
  <si>
    <t>Sacolas Plásticas M</t>
  </si>
  <si>
    <t>Sacolas Plásticas G</t>
  </si>
  <si>
    <t>Isopor Embalagem de Cachorro Quente Grande</t>
  </si>
  <si>
    <t>Saco de Papel</t>
  </si>
  <si>
    <t>Guardanapo</t>
  </si>
  <si>
    <t>Papel Toalha</t>
  </si>
  <si>
    <t>Metros</t>
  </si>
  <si>
    <t>Centímetros</t>
  </si>
  <si>
    <t>Embalagem Alumínio Espeto</t>
  </si>
  <si>
    <t>Canudos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</si>
</sst>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,##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 wrapText="1"/>
    </xf>
    <xf numFmtId="164" fontId="0" fillId="0" borderId="0" xfId="1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4" fontId="3" fillId="0" borderId="0" xfId="0" applyNumberFormat="1" applyFont="1"/>
    <xf numFmtId="9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7" fillId="0" borderId="0" xfId="0" applyNumberFormat="1" applyFont="1"/>
    <xf numFmtId="44" fontId="8" fillId="0" borderId="0" xfId="0" applyNumberFormat="1" applyFont="1"/>
    <xf numFmtId="3" fontId="0" fillId="0" borderId="0" xfId="0" applyNumberFormat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44" fontId="9" fillId="0" borderId="0" xfId="0" applyNumberFormat="1" applyFont="1"/>
    <xf numFmtId="44" fontId="3" fillId="0" borderId="0" xfId="0" applyNumberFormat="1" applyFont="1" applyAlignment="1">
      <alignment vertical="center"/>
    </xf>
    <xf numFmtId="44" fontId="10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/>
    <xf numFmtId="44" fontId="8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7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/>
    <xf numFmtId="12" fontId="6" fillId="0" borderId="0" xfId="0" applyNumberFormat="1" applyFont="1" applyAlignment="1">
      <alignment horizontal="center" vertical="center"/>
    </xf>
    <xf numFmtId="0" fontId="3" fillId="0" borderId="0" xfId="0" applyFont="1"/>
    <xf numFmtId="165" fontId="0" fillId="0" borderId="0" xfId="0" applyNumberFormat="1"/>
    <xf numFmtId="0" fontId="0" fillId="5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0" xfId="0" applyNumberFormat="1" applyFont="1"/>
  </cellXfs>
  <cellStyles count="2">
    <cellStyle name="Normal" xfId="0" builtinId="0"/>
    <cellStyle name="Porcentagem" xfId="1" builtinId="5"/>
  </cellStyles>
  <dxfs count="172">
    <dxf>
      <font>
        <b/>
        <i val="0"/>
        <color rgb="FFC0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" formatCode="#\ ?/?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theme="5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numFmt numFmtId="13" formatCode="0%"/>
      <alignment horizontal="general" vertical="center" textRotation="0" wrapText="0" indent="0" justifyLastLine="0" shrinkToFit="0" readingOrder="0"/>
    </dxf>
    <dxf>
      <numFmt numFmtId="164" formatCode="0.0%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5" tint="-0.499984740745262"/>
      </font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4" xr9:uid="{CCA51570-ACCA-491D-B72B-EBD9A7DDEC62}">
      <tableStyleElement type="wholeTable" dxfId="171"/>
      <tableStyleElement type="headerRow" dxfId="170"/>
      <tableStyleElement type="totalRow" dxfId="169"/>
      <tableStyleElement type="first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Caixa'!$O$5:$O$124</c:f>
              <c:numCache>
                <c:formatCode>_("R$"* #,##0.00_);_("R$"* \(#,##0.00\);_("R$"* "-"??_);_(@_)</c:formatCode>
                <c:ptCount val="120"/>
                <c:pt idx="0">
                  <c:v>346.89</c:v>
                </c:pt>
                <c:pt idx="1">
                  <c:v>546.89</c:v>
                </c:pt>
                <c:pt idx="2">
                  <c:v>445.41999999999996</c:v>
                </c:pt>
                <c:pt idx="3">
                  <c:v>353.91999999999996</c:v>
                </c:pt>
                <c:pt idx="4">
                  <c:v>273.91999999999996</c:v>
                </c:pt>
                <c:pt idx="5">
                  <c:v>273.91999999999996</c:v>
                </c:pt>
                <c:pt idx="6">
                  <c:v>-115.53999999999996</c:v>
                </c:pt>
                <c:pt idx="7">
                  <c:v>-115.53999999999996</c:v>
                </c:pt>
                <c:pt idx="8">
                  <c:v>-504.88999999999987</c:v>
                </c:pt>
                <c:pt idx="9">
                  <c:v>-504.88999999999987</c:v>
                </c:pt>
                <c:pt idx="10">
                  <c:v>-504.88999999999987</c:v>
                </c:pt>
                <c:pt idx="11">
                  <c:v>-547.48999999999978</c:v>
                </c:pt>
                <c:pt idx="12">
                  <c:v>-672.81999999999971</c:v>
                </c:pt>
                <c:pt idx="13">
                  <c:v>-681.30999999999972</c:v>
                </c:pt>
                <c:pt idx="14">
                  <c:v>-681.30999999999972</c:v>
                </c:pt>
                <c:pt idx="15">
                  <c:v>-681.30999999999972</c:v>
                </c:pt>
                <c:pt idx="16">
                  <c:v>-681.30999999999972</c:v>
                </c:pt>
                <c:pt idx="17">
                  <c:v>-681.30999999999972</c:v>
                </c:pt>
                <c:pt idx="18">
                  <c:v>-681.30999999999972</c:v>
                </c:pt>
                <c:pt idx="19">
                  <c:v>-681.30999999999972</c:v>
                </c:pt>
                <c:pt idx="20">
                  <c:v>-681.30999999999972</c:v>
                </c:pt>
                <c:pt idx="21">
                  <c:v>-681.30999999999972</c:v>
                </c:pt>
                <c:pt idx="22">
                  <c:v>-681.30999999999972</c:v>
                </c:pt>
                <c:pt idx="23">
                  <c:v>-681.30999999999972</c:v>
                </c:pt>
                <c:pt idx="24">
                  <c:v>-681.30999999999972</c:v>
                </c:pt>
                <c:pt idx="25">
                  <c:v>-681.30999999999972</c:v>
                </c:pt>
                <c:pt idx="26">
                  <c:v>-681.30999999999972</c:v>
                </c:pt>
                <c:pt idx="27">
                  <c:v>-681.30999999999972</c:v>
                </c:pt>
                <c:pt idx="28">
                  <c:v>-681.30999999999972</c:v>
                </c:pt>
                <c:pt idx="29">
                  <c:v>-681.30999999999972</c:v>
                </c:pt>
                <c:pt idx="30">
                  <c:v>-681.30999999999972</c:v>
                </c:pt>
                <c:pt idx="31">
                  <c:v>-681.30999999999972</c:v>
                </c:pt>
                <c:pt idx="32">
                  <c:v>-681.30999999999972</c:v>
                </c:pt>
                <c:pt idx="33">
                  <c:v>-681.30999999999972</c:v>
                </c:pt>
                <c:pt idx="34">
                  <c:v>-681.30999999999972</c:v>
                </c:pt>
                <c:pt idx="35">
                  <c:v>-681.30999999999972</c:v>
                </c:pt>
                <c:pt idx="36">
                  <c:v>-681.30999999999972</c:v>
                </c:pt>
                <c:pt idx="37">
                  <c:v>-681.30999999999972</c:v>
                </c:pt>
                <c:pt idx="38">
                  <c:v>-681.30999999999972</c:v>
                </c:pt>
                <c:pt idx="39">
                  <c:v>-681.30999999999972</c:v>
                </c:pt>
                <c:pt idx="40">
                  <c:v>-681.30999999999972</c:v>
                </c:pt>
                <c:pt idx="41">
                  <c:v>-681.30999999999972</c:v>
                </c:pt>
                <c:pt idx="42">
                  <c:v>-681.30999999999972</c:v>
                </c:pt>
                <c:pt idx="43">
                  <c:v>-681.30999999999972</c:v>
                </c:pt>
                <c:pt idx="44">
                  <c:v>-681.30999999999972</c:v>
                </c:pt>
                <c:pt idx="45">
                  <c:v>-681.30999999999972</c:v>
                </c:pt>
                <c:pt idx="46">
                  <c:v>-681.30999999999972</c:v>
                </c:pt>
                <c:pt idx="47">
                  <c:v>-681.30999999999972</c:v>
                </c:pt>
                <c:pt idx="48">
                  <c:v>-681.30999999999972</c:v>
                </c:pt>
                <c:pt idx="49">
                  <c:v>-681.30999999999972</c:v>
                </c:pt>
                <c:pt idx="50">
                  <c:v>-681.30999999999972</c:v>
                </c:pt>
                <c:pt idx="51">
                  <c:v>-681.30999999999972</c:v>
                </c:pt>
                <c:pt idx="52">
                  <c:v>-681.30999999999972</c:v>
                </c:pt>
                <c:pt idx="53">
                  <c:v>-681.30999999999972</c:v>
                </c:pt>
                <c:pt idx="54">
                  <c:v>-681.30999999999972</c:v>
                </c:pt>
                <c:pt idx="55">
                  <c:v>-681.30999999999972</c:v>
                </c:pt>
                <c:pt idx="56">
                  <c:v>-681.30999999999972</c:v>
                </c:pt>
                <c:pt idx="57">
                  <c:v>-681.30999999999972</c:v>
                </c:pt>
                <c:pt idx="58">
                  <c:v>-681.30999999999972</c:v>
                </c:pt>
                <c:pt idx="59">
                  <c:v>-681.30999999999972</c:v>
                </c:pt>
                <c:pt idx="60">
                  <c:v>-681.30999999999972</c:v>
                </c:pt>
                <c:pt idx="61">
                  <c:v>-681.30999999999972</c:v>
                </c:pt>
                <c:pt idx="62">
                  <c:v>-681.30999999999972</c:v>
                </c:pt>
                <c:pt idx="63">
                  <c:v>-681.30999999999972</c:v>
                </c:pt>
                <c:pt idx="64">
                  <c:v>-681.30999999999972</c:v>
                </c:pt>
                <c:pt idx="65">
                  <c:v>-681.30999999999972</c:v>
                </c:pt>
                <c:pt idx="66">
                  <c:v>-681.30999999999972</c:v>
                </c:pt>
                <c:pt idx="67">
                  <c:v>-681.30999999999972</c:v>
                </c:pt>
                <c:pt idx="68">
                  <c:v>-681.30999999999972</c:v>
                </c:pt>
                <c:pt idx="69">
                  <c:v>-681.30999999999972</c:v>
                </c:pt>
                <c:pt idx="70">
                  <c:v>-681.30999999999972</c:v>
                </c:pt>
                <c:pt idx="71">
                  <c:v>-681.30999999999972</c:v>
                </c:pt>
                <c:pt idx="72">
                  <c:v>-681.30999999999972</c:v>
                </c:pt>
                <c:pt idx="73">
                  <c:v>-681.30999999999972</c:v>
                </c:pt>
                <c:pt idx="74">
                  <c:v>-681.30999999999972</c:v>
                </c:pt>
                <c:pt idx="75">
                  <c:v>-681.30999999999972</c:v>
                </c:pt>
                <c:pt idx="76">
                  <c:v>-681.30999999999972</c:v>
                </c:pt>
                <c:pt idx="77">
                  <c:v>-681.30999999999972</c:v>
                </c:pt>
                <c:pt idx="78">
                  <c:v>-681.30999999999972</c:v>
                </c:pt>
                <c:pt idx="79">
                  <c:v>-681.30999999999972</c:v>
                </c:pt>
                <c:pt idx="80">
                  <c:v>-681.30999999999972</c:v>
                </c:pt>
                <c:pt idx="81">
                  <c:v>-681.30999999999972</c:v>
                </c:pt>
                <c:pt idx="82">
                  <c:v>-681.30999999999972</c:v>
                </c:pt>
                <c:pt idx="83">
                  <c:v>-681.30999999999972</c:v>
                </c:pt>
                <c:pt idx="84">
                  <c:v>-681.30999999999972</c:v>
                </c:pt>
                <c:pt idx="85">
                  <c:v>-681.30999999999972</c:v>
                </c:pt>
                <c:pt idx="86">
                  <c:v>-681.30999999999972</c:v>
                </c:pt>
                <c:pt idx="87">
                  <c:v>-681.30999999999972</c:v>
                </c:pt>
                <c:pt idx="88">
                  <c:v>-681.30999999999972</c:v>
                </c:pt>
                <c:pt idx="89">
                  <c:v>-681.30999999999972</c:v>
                </c:pt>
                <c:pt idx="90">
                  <c:v>-681.30999999999972</c:v>
                </c:pt>
                <c:pt idx="91">
                  <c:v>-681.30999999999972</c:v>
                </c:pt>
                <c:pt idx="92">
                  <c:v>-681.30999999999972</c:v>
                </c:pt>
                <c:pt idx="93">
                  <c:v>-681.30999999999972</c:v>
                </c:pt>
                <c:pt idx="94">
                  <c:v>-681.30999999999972</c:v>
                </c:pt>
                <c:pt idx="95">
                  <c:v>-681.30999999999972</c:v>
                </c:pt>
                <c:pt idx="96">
                  <c:v>-681.30999999999972</c:v>
                </c:pt>
                <c:pt idx="97">
                  <c:v>-681.30999999999972</c:v>
                </c:pt>
                <c:pt idx="98">
                  <c:v>-681.30999999999972</c:v>
                </c:pt>
                <c:pt idx="99">
                  <c:v>-681.30999999999972</c:v>
                </c:pt>
                <c:pt idx="100">
                  <c:v>-681.30999999999972</c:v>
                </c:pt>
                <c:pt idx="101">
                  <c:v>-681.30999999999972</c:v>
                </c:pt>
                <c:pt idx="102">
                  <c:v>-681.30999999999972</c:v>
                </c:pt>
                <c:pt idx="103">
                  <c:v>-681.30999999999972</c:v>
                </c:pt>
                <c:pt idx="104">
                  <c:v>-681.30999999999972</c:v>
                </c:pt>
                <c:pt idx="105">
                  <c:v>-681.30999999999972</c:v>
                </c:pt>
                <c:pt idx="106">
                  <c:v>-681.30999999999972</c:v>
                </c:pt>
                <c:pt idx="107">
                  <c:v>-681.30999999999972</c:v>
                </c:pt>
                <c:pt idx="108">
                  <c:v>-681.30999999999972</c:v>
                </c:pt>
                <c:pt idx="109">
                  <c:v>-681.30999999999972</c:v>
                </c:pt>
                <c:pt idx="110">
                  <c:v>-681.30999999999972</c:v>
                </c:pt>
                <c:pt idx="111">
                  <c:v>-681.30999999999972</c:v>
                </c:pt>
                <c:pt idx="112">
                  <c:v>-681.30999999999972</c:v>
                </c:pt>
                <c:pt idx="113">
                  <c:v>-681.30999999999972</c:v>
                </c:pt>
                <c:pt idx="114">
                  <c:v>-681.30999999999972</c:v>
                </c:pt>
                <c:pt idx="115">
                  <c:v>-681.30999999999972</c:v>
                </c:pt>
                <c:pt idx="116">
                  <c:v>-681.30999999999972</c:v>
                </c:pt>
                <c:pt idx="117">
                  <c:v>-681.30999999999972</c:v>
                </c:pt>
                <c:pt idx="118">
                  <c:v>-681.30999999999972</c:v>
                </c:pt>
                <c:pt idx="119">
                  <c:v>-681.30999999999972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AA9-998F-254836606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24"/>
        <c:axId val="127874544"/>
      </c:lineChart>
      <c:dateAx>
        <c:axId val="12788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74544"/>
        <c:crosses val="autoZero"/>
        <c:auto val="1"/>
        <c:lblOffset val="100"/>
        <c:baseTimeUnit val="days"/>
      </c:dateAx>
      <c:valAx>
        <c:axId val="1278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Caixa'!$E$5:$E$124</c:f>
              <c:numCache>
                <c:formatCode>#\ ?/?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273-A46E-72CD8894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297055"/>
        <c:axId val="2129270655"/>
      </c:lineChart>
      <c:dateAx>
        <c:axId val="21292970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70655"/>
        <c:crosses val="autoZero"/>
        <c:auto val="1"/>
        <c:lblOffset val="100"/>
        <c:baseTimeUnit val="days"/>
      </c:dateAx>
      <c:valAx>
        <c:axId val="212927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228600</xdr:colOff>
          <xdr:row>18</xdr:row>
          <xdr:rowOff>0</xdr:rowOff>
        </xdr:to>
        <xdr:sp macro="" textlink="">
          <xdr:nvSpPr>
            <xdr:cNvPr id="7170" name="cmbFichaTecnic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2" name="cmbAutocompleteFicha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88900</xdr:rowOff>
        </xdr:to>
        <xdr:sp macro="" textlink="">
          <xdr:nvSpPr>
            <xdr:cNvPr id="7175" name="lstAutocompleteFicha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4</xdr:col>
          <xdr:colOff>1584325</xdr:colOff>
          <xdr:row>26</xdr:row>
          <xdr:rowOff>0</xdr:rowOff>
        </xdr:to>
        <xdr:sp macro="" textlink="">
          <xdr:nvSpPr>
            <xdr:cNvPr id="7173" name="txtAutocompleteFich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1584325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174" name="btnAutocompleteFich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3663</xdr:colOff>
      <xdr:row>3</xdr:row>
      <xdr:rowOff>16644</xdr:rowOff>
    </xdr:from>
    <xdr:to>
      <xdr:col>40</xdr:col>
      <xdr:colOff>0</xdr:colOff>
      <xdr:row>33</xdr:row>
      <xdr:rowOff>120925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41DC00-0931-E712-E9A0-925431154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20052</xdr:colOff>
      <xdr:row>33</xdr:row>
      <xdr:rowOff>195010</xdr:rowOff>
    </xdr:from>
    <xdr:to>
      <xdr:col>40</xdr:col>
      <xdr:colOff>50130</xdr:colOff>
      <xdr:row>64</xdr:row>
      <xdr:rowOff>75197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9D1ED-A125-331B-0A41-9CFA0D28D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work" refreshedDate="46113.017430555556" createdVersion="8" refreshedVersion="8" minRefreshableVersion="3" recordCount="27" xr:uid="{D6F14279-7014-4A32-8913-50F3B734BCD3}">
  <cacheSource type="worksheet">
    <worksheetSource name="vendas"/>
  </cacheSource>
  <cacheFields count="12">
    <cacheField name="data" numFmtId="14">
      <sharedItems containsNonDate="0" containsDate="1" containsString="0" containsBlank="1" minDate="2026-03-28T00:00:00" maxDate="2026-03-30T00:00:00"/>
    </cacheField>
    <cacheField name="ID" numFmtId="0">
      <sharedItems containsMixedTypes="1" containsNumber="1" containsInteger="1" minValue="1" maxValue="11"/>
    </cacheField>
    <cacheField name="Item" numFmtId="0">
      <sharedItems containsBlank="1" count="7">
        <s v="Sorvete Morango"/>
        <s v="Sorvete Oreo"/>
        <s v="Brownie Simples"/>
        <s v="Brownie Gourmet Oreo"/>
        <s v="Brownie Gourmet Ninho + Nutella"/>
        <s v="Sorvete Banana"/>
        <m/>
      </sharedItems>
    </cacheField>
    <cacheField name="Adicional 1" numFmtId="0">
      <sharedItems containsBlank="1" count="3">
        <s v="Nutella"/>
        <m/>
        <s v="Paçoca"/>
      </sharedItems>
    </cacheField>
    <cacheField name="Adicional 2" numFmtId="0">
      <sharedItems containsNonDate="0" containsString="0" containsBlank="1" count="1">
        <m/>
      </sharedItems>
    </cacheField>
    <cacheField name="Adicional 3" numFmtId="0">
      <sharedItems containsNonDate="0" containsString="0" containsBlank="1" count="1">
        <m/>
      </sharedItems>
    </cacheField>
    <cacheField name="Qtd." numFmtId="0">
      <sharedItems containsString="0" containsBlank="1" containsNumber="1" containsInteger="1" minValue="1" maxValue="24"/>
    </cacheField>
    <cacheField name="Valor" numFmtId="44">
      <sharedItems containsString="0" containsBlank="1" containsNumber="1" containsInteger="1" minValue="8" maxValue="30"/>
    </cacheField>
    <cacheField name="Método de Pagamento" numFmtId="0">
      <sharedItems containsBlank="1"/>
    </cacheField>
    <cacheField name="Recebimento" numFmtId="44">
      <sharedItems containsMixedTypes="1" containsNumber="1" minValue="0" maxValue="171.08959999999999"/>
    </cacheField>
    <cacheField name="Lucro Bruto" numFmtId="44">
      <sharedItems containsMixedTypes="1" containsNumber="1" minValue="-35.876347619047621" maxValue="109.71808615384614"/>
    </cacheField>
    <cacheField name="Lucro Líquido" numFmtId="44">
      <sharedItems containsMixedTypes="1" containsNumber="1" minValue="-158.27538761904765" maxValue="73.0928646153846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d v="2026-03-28T00:00:00"/>
    <n v="6"/>
    <x v="0"/>
    <x v="0"/>
    <x v="0"/>
    <x v="0"/>
    <n v="5"/>
    <n v="22"/>
    <s v="Crédito"/>
    <n v="103.411"/>
    <n v="65.053803846153841"/>
    <n v="39.55400384615384"/>
  </r>
  <r>
    <d v="2026-03-28T00:00:00"/>
    <n v="6"/>
    <x v="0"/>
    <x v="0"/>
    <x v="0"/>
    <x v="0"/>
    <n v="8"/>
    <n v="22"/>
    <s v="Débito"/>
    <n v="171.08959999999999"/>
    <n v="109.71808615384614"/>
    <n v="68.918406153846149"/>
  </r>
  <r>
    <d v="2026-03-28T00:00:00"/>
    <n v="6"/>
    <x v="0"/>
    <x v="0"/>
    <x v="0"/>
    <x v="0"/>
    <n v="1"/>
    <n v="22"/>
    <s v="Dinheiro"/>
    <n v="22"/>
    <n v="14.328560769230769"/>
    <n v="9.2286007692307699"/>
  </r>
  <r>
    <d v="2026-03-28T00:00:00"/>
    <n v="6"/>
    <x v="0"/>
    <x v="1"/>
    <x v="0"/>
    <x v="0"/>
    <n v="4"/>
    <n v="30"/>
    <s v="Pix"/>
    <n v="120"/>
    <n v="93.492704615384611"/>
    <n v="73.092864615384613"/>
  </r>
  <r>
    <d v="2026-03-28T00:00:00"/>
    <n v="11"/>
    <x v="1"/>
    <x v="1"/>
    <x v="0"/>
    <x v="0"/>
    <n v="2"/>
    <n v="25"/>
    <s v="Dinheiro"/>
    <n v="50"/>
    <n v="39.670352307692312"/>
    <n v="29.470432307692313"/>
  </r>
  <r>
    <d v="2026-03-28T00:00:00"/>
    <n v="6"/>
    <x v="0"/>
    <x v="1"/>
    <x v="0"/>
    <x v="0"/>
    <n v="1"/>
    <n v="30"/>
    <s v="Dinheiro"/>
    <n v="30"/>
    <n v="23.373176153846153"/>
    <n v="18.273216153846153"/>
  </r>
  <r>
    <d v="2026-03-28T00:00:00"/>
    <n v="1"/>
    <x v="2"/>
    <x v="1"/>
    <x v="0"/>
    <x v="0"/>
    <n v="14"/>
    <n v="8"/>
    <s v="Crédito"/>
    <n v="105.2912"/>
    <n v="84.363330555555564"/>
    <n v="12.963890555555565"/>
  </r>
  <r>
    <d v="2026-03-28T00:00:00"/>
    <n v="1"/>
    <x v="2"/>
    <x v="1"/>
    <x v="0"/>
    <x v="0"/>
    <n v="1"/>
    <n v="10"/>
    <s v="Dinheiro"/>
    <n v="10"/>
    <n v="8.5051521825396819"/>
    <n v="3.4051921825396816"/>
  </r>
  <r>
    <d v="2026-03-28T00:00:00"/>
    <n v="3"/>
    <x v="3"/>
    <x v="1"/>
    <x v="0"/>
    <x v="0"/>
    <n v="1"/>
    <n v="15"/>
    <s v="Débito"/>
    <n v="14.5815"/>
    <n v="9.2006074583082196"/>
    <n v="4.1006474583082193"/>
  </r>
  <r>
    <d v="2026-03-28T00:00:00"/>
    <n v="3"/>
    <x v="3"/>
    <x v="1"/>
    <x v="0"/>
    <x v="0"/>
    <n v="1"/>
    <n v="15"/>
    <s v="Pix"/>
    <n v="15"/>
    <n v="9.6191074583082177"/>
    <n v="4.5191474583082174"/>
  </r>
  <r>
    <d v="2026-03-28T00:00:00"/>
    <n v="3"/>
    <x v="3"/>
    <x v="1"/>
    <x v="0"/>
    <x v="0"/>
    <n v="2"/>
    <n v="15"/>
    <s v="Dinheiro"/>
    <n v="30"/>
    <n v="19.238214916616435"/>
    <n v="9.0382949166164348"/>
  </r>
  <r>
    <d v="2026-03-28T00:00:00"/>
    <n v="4"/>
    <x v="4"/>
    <x v="1"/>
    <x v="0"/>
    <x v="0"/>
    <n v="1"/>
    <n v="20"/>
    <s v="Dinheiro"/>
    <n v="20"/>
    <n v="14.769134642923603"/>
    <n v="9.6691746429236041"/>
  </r>
  <r>
    <d v="2026-03-28T00:00:00"/>
    <n v="1"/>
    <x v="2"/>
    <x v="1"/>
    <x v="0"/>
    <x v="0"/>
    <n v="24"/>
    <n v="8"/>
    <s v="Doação"/>
    <n v="0"/>
    <n v="-35.876347619047621"/>
    <n v="-158.27538761904765"/>
  </r>
  <r>
    <d v="2026-03-29T00:00:00"/>
    <n v="6"/>
    <x v="0"/>
    <x v="0"/>
    <x v="0"/>
    <x v="0"/>
    <n v="5"/>
    <n v="22"/>
    <s v="Pix"/>
    <n v="110"/>
    <n v="71.642803846153839"/>
    <n v="46.143003846153839"/>
  </r>
  <r>
    <d v="2026-03-29T00:00:00"/>
    <n v="6"/>
    <x v="0"/>
    <x v="1"/>
    <x v="0"/>
    <x v="0"/>
    <n v="1"/>
    <n v="30"/>
    <s v="Pix"/>
    <n v="30"/>
    <n v="23.373176153846153"/>
    <n v="18.273216153846153"/>
  </r>
  <r>
    <d v="2026-03-29T00:00:00"/>
    <n v="5"/>
    <x v="5"/>
    <x v="2"/>
    <x v="0"/>
    <x v="0"/>
    <n v="1"/>
    <n v="27"/>
    <s v="Pix"/>
    <n v="27"/>
    <n v="20.638553076923078"/>
    <n v="15.538593076923078"/>
  </r>
  <r>
    <d v="2026-03-29T00:00:00"/>
    <n v="6"/>
    <x v="0"/>
    <x v="1"/>
    <x v="0"/>
    <x v="0"/>
    <n v="1"/>
    <n v="30"/>
    <s v="Débito"/>
    <n v="29.163"/>
    <n v="22.536176153846156"/>
    <n v="17.436216153846157"/>
  </r>
  <r>
    <d v="2026-03-29T00:00:00"/>
    <n v="11"/>
    <x v="1"/>
    <x v="1"/>
    <x v="0"/>
    <x v="0"/>
    <n v="1"/>
    <n v="25"/>
    <s v="Crédito"/>
    <n v="23.502500000000001"/>
    <n v="18.337676153846154"/>
    <n v="13.237716153846154"/>
  </r>
  <r>
    <d v="2026-03-29T00:00:00"/>
    <n v="6"/>
    <x v="0"/>
    <x v="1"/>
    <x v="0"/>
    <x v="0"/>
    <n v="1"/>
    <n v="30"/>
    <s v="Crédito"/>
    <n v="28.202999999999999"/>
    <n v="21.576176153846156"/>
    <n v="16.476216153846156"/>
  </r>
  <r>
    <d v="2026-03-29T00:00:00"/>
    <n v="1"/>
    <x v="2"/>
    <x v="1"/>
    <x v="0"/>
    <x v="0"/>
    <n v="5"/>
    <n v="8"/>
    <s v="Pix"/>
    <n v="40"/>
    <n v="32.525760912698416"/>
    <n v="7.0259609126984159"/>
  </r>
  <r>
    <d v="2026-03-29T00:00:00"/>
    <n v="4"/>
    <x v="4"/>
    <x v="1"/>
    <x v="0"/>
    <x v="0"/>
    <n v="1"/>
    <n v="16"/>
    <s v="Dinheiro"/>
    <n v="16"/>
    <n v="10.769134642923603"/>
    <n v="5.6691746429236032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B0473-37D7-4E77-8B06-DF11ACDB2A9F}" name="relação_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4:R12" firstHeaderRow="1" firstDataRow="1" firstDataCol="1"/>
  <pivotFields count="12">
    <pivotField showAll="0"/>
    <pivotField showAll="0"/>
    <pivotField axis="axisRow" showAll="0">
      <items count="8">
        <item x="4"/>
        <item x="3"/>
        <item x="2"/>
        <item x="5"/>
        <item x="0"/>
        <item x="1"/>
        <item x="6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0B386-61DB-4493-A6BF-9B0675CE8C91}" name="PrevVendas" displayName="PrevVendas" ref="B4:E5" totalsRowShown="0" headerRowDxfId="164">
  <autoFilter ref="B4:E5" xr:uid="{00D0B386-61DB-4493-A6BF-9B0675CE8C91}">
    <filterColumn colId="0" hiddenButton="1"/>
    <filterColumn colId="1" hiddenButton="1"/>
    <filterColumn colId="2" hiddenButton="1"/>
    <filterColumn colId="3" hiddenButton="1"/>
  </autoFilter>
  <tableColumns count="4">
    <tableColumn id="1" xr3:uid="{47BDF697-952D-4CCB-9426-A4E2078D30E3}" name="Máximo de vendas"/>
    <tableColumn id="2" xr3:uid="{5C86CAF3-0FE9-4B99-80B7-8DF8E32430E1}" name="Mínimo de vendas"/>
    <tableColumn id="3" xr3:uid="{62F2C502-4F9F-47DC-AD5B-F2108DA5D91D}" name="Faturamento Alvo" dataDxfId="163"/>
    <tableColumn id="4" xr3:uid="{B0EFE4EA-18AD-44EE-9AF5-0B2E3973B9D1}" name="Faturamento Mínimo" dataDxfId="16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CBC55B-3FE9-40A6-B9C4-9D870823710C}" name="ConfPrec" displayName="ConfPrec" ref="G4:L5" totalsRowShown="0" headerRowDxfId="161" dataDxfId="160">
  <autoFilter ref="G4:L5" xr:uid="{C3CBC55B-3FE9-40A6-B9C4-9D87082371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3F09E57-DD73-4EE7-81CE-517FC8F77D20}" name="Rateio de Custos Fixos" dataDxfId="159">
      <calculatedColumnFormula>CFMensais[[#Totals],[Valor]] / PrevVendas[[#This Row],[Mínimo de vendas]]</calculatedColumnFormula>
    </tableColumn>
    <tableColumn id="2" xr3:uid="{64A6F3FC-CB2B-452B-8244-FEB4FC65B92E}" name="Despesas Variáveis" dataDxfId="158">
      <calculatedColumnFormula>DespesasVariaveis[[#Totals],[Porcentagem]]</calculatedColumnFormula>
    </tableColumn>
    <tableColumn id="3" xr3:uid="{594158C0-E41A-4F09-AEBC-D3ECE4CA8F47}" name="Margem Cat. A" dataDxfId="157" dataCellStyle="Porcentagem"/>
    <tableColumn id="4" xr3:uid="{3A853789-ECD6-41BF-BF52-11C09937D021}" name="Margem Cat. B" dataDxfId="156" dataCellStyle="Porcentagem"/>
    <tableColumn id="5" xr3:uid="{8ADAED90-5A37-40B3-93D7-848BADE39C28}" name="Margem Cat. C" dataDxfId="155" dataCellStyle="Porcentagem"/>
    <tableColumn id="6" xr3:uid="{9801B701-D93D-43D6-A8DE-EE9A13C739DE}" name="C.F nos custos totais?" dataDxfId="154" dataCellStyle="Porcentagem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C8586E-8643-4D14-A2B1-BE13DCD74ABD}" name="Variáveis" displayName="Variáveis" ref="N4:N11" totalsRowShown="0" headerRowDxfId="153">
  <autoFilter ref="N4:N11" xr:uid="{CBC8586E-8643-4D14-A2B1-BE13DCD74ABD}"/>
  <tableColumns count="1">
    <tableColumn id="1" xr3:uid="{FBDAF064-F535-4EA1-821C-D8A7D8FD321C}" name="Medida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489ED0-BE98-4E13-9CD6-B2D9BF50DD14}" name="métodos" displayName="métodos" ref="P4:R9" totalsRowShown="0" headerRowDxfId="152">
  <autoFilter ref="P4:R9" xr:uid="{A5489ED0-BE98-4E13-9CD6-B2D9BF50DD14}"/>
  <tableColumns count="3">
    <tableColumn id="1" xr3:uid="{4DE5E182-CD43-4EDA-AC56-15FE6CABCD30}" name="Método"/>
    <tableColumn id="2" xr3:uid="{B942FE53-82E8-4D26-BB76-BAE431EE6AAD}" name="Desconto" dataDxfId="151" dataCellStyle="Porcentagem"/>
    <tableColumn id="3" xr3:uid="{01E714C5-CAB3-4F2F-969F-B5C976CAB003}" name="Acréscimo" dataDxfId="150" dataCellStyle="Porcentagem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CAE1D-0281-4C6C-BC81-756BFEBA6FE5}" name="Ingredientes" displayName="Ingredientes" ref="C4:I263" totalsRowCount="1">
  <autoFilter ref="C4:I262" xr:uid="{F68CAE1D-0281-4C6C-BC81-756BFEBA6FE5}"/>
  <tableColumns count="7">
    <tableColumn id="5" xr3:uid="{5E80D079-5578-4811-93AE-3677CC246253}" name="Produto" totalsRowLabel="Total"/>
    <tableColumn id="6" xr3:uid="{187CBB4D-F6B4-4A26-94F3-31AAAB12EC8A}" name="ID" dataDxfId="21" totalsRowDxfId="26">
      <calculatedColumnFormula>IFERROR(
INDEX(insumos[ID],MATCH(Ingredientes[[#This Row],[item]],insumos[item],0)),
IFERROR(
INDEX(CaProdutos[ID],MATCH(Ingredientes[[#This Row],[item]],CaProdutos[Item],0)),
""
))</calculatedColumnFormula>
    </tableColumn>
    <tableColumn id="1" xr3:uid="{D674E9D1-2D7B-477C-98EA-5A0FBEE79D57}" name="item"/>
    <tableColumn id="2" xr3:uid="{FC7E47E2-B4B1-4DDA-899C-5A5FD2E33EEB}" name="qtd." dataDxfId="167" totalsRowDxfId="25"/>
    <tableColumn id="3" xr3:uid="{297C1C33-4C10-4981-AA50-DD62399C72F9}" name="medida" dataDxfId="20" totalsRowDxfId="24">
      <calculatedColumnFormula>IFERROR(
INDEX(insumos[medida],MATCH(Ingredientes[[#This Row],[item]],insumos[item],0)),
IFERROR(
IF(MATCH(Ingredientes[[#This Row],[item]],CaProdutos[Item],0)&gt;0,"Unidades",""),
""
))</calculatedColumnFormula>
    </tableColumn>
    <tableColumn id="7" xr3:uid="{806A65FD-2929-4D78-846A-EC4C9A826ABD}" name="Porções" dataDxfId="166" totalsRowDxfId="23">
      <calculatedColumnFormula>IFERROR(INDEX(CaProdutos[Un. Por Lote], MATCH(Ingredientes[[#This Row],[Produto]], CaProdutos[Item], 0)), "")</calculatedColumnFormula>
    </tableColumn>
    <tableColumn id="4" xr3:uid="{DC1B8A26-7493-4839-8739-D5EF151230B1}" name="preço" totalsRowFunction="sum" dataDxfId="165" totalsRowDxfId="22">
      <calculatedColumnFormula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1F5C9C6-D8B9-4075-9090-6A8EDB9DF486}" name="Embalamento" displayName="Embalamento" ref="B4:G48" totalsRowShown="0">
  <autoFilter ref="B4:G48" xr:uid="{01F5C9C6-D8B9-4075-9090-6A8EDB9DF486}"/>
  <tableColumns count="6">
    <tableColumn id="1" xr3:uid="{13DAF32B-3345-4516-BD01-8752F3735159}" name="ID" dataDxfId="12">
      <calculatedColumnFormula>IFERROR(
INDEX(CaProdutos[ID],MATCH(Embalamento[[#This Row],[Produto]],CaProdutos[Item],0)),
""
)</calculatedColumnFormula>
    </tableColumn>
    <tableColumn id="2" xr3:uid="{FC473AA6-192A-4273-8C36-DB2CCDC6C03D}" name="Produto"/>
    <tableColumn id="3" xr3:uid="{9E327527-B340-46C3-B2F7-94E3594589F9}" name="Embalagem"/>
    <tableColumn id="4" xr3:uid="{F8866591-C1E4-464F-90DE-09BCC42D9ED6}" name="Quantidade"/>
    <tableColumn id="5" xr3:uid="{7942E77B-BD8C-40FE-B3BB-92A814022FE0}" name="Medida" dataDxfId="3">
      <calculatedColumnFormula>IFERROR(
INDEX(Embalagens[medida],MATCH(Embalamento[[#This Row],[Embalagem]],Embalagens[item],0)), "")</calculatedColumnFormula>
    </tableColumn>
    <tableColumn id="6" xr3:uid="{FEEA94FE-D4E0-4F14-A87F-1F67F27AE242}" name="Preço" dataDxfId="2">
      <calculatedColumnFormula>IFERROR(INDEX(Embalagens[preço], MATCH(Embalamento[[#This Row],[Embalagem]], Embalagens[item], 0)) / INDEX(Embalagens[quantidade], MATCH(Embalamento[[#This Row],[Embalagem]], Embalagens[item], 0)) * Embalamento[[#This Row],[Quantidade]], 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1A42D2-5F4B-4FC9-B260-7FDA2B8F8254}" name="Embalagens" displayName="Embalagens" ref="B4:K122" totalsRowCount="1">
  <autoFilter ref="B4:K121" xr:uid="{881A42D2-5F4B-4FC9-B260-7FDA2B8F8254}"/>
  <sortState xmlns:xlrd2="http://schemas.microsoft.com/office/spreadsheetml/2017/richdata2" ref="B5:K121">
    <sortCondition ref="C4:C121"/>
  </sortState>
  <tableColumns count="10">
    <tableColumn id="1" xr3:uid="{FA7F54E5-51A3-4AD8-B69D-222D65106069}" name="ID" totalsRowLabel="Total"/>
    <tableColumn id="2" xr3:uid="{B9922C9C-E9E0-4098-BA1F-D18C899F6558}" name="item"/>
    <tableColumn id="3" xr3:uid="{C4F5713A-6B70-49FF-86AF-F07D625CCD05}" name="preço" totalsRowFunction="sum" dataDxfId="10" totalsRowDxfId="11"/>
    <tableColumn id="4" xr3:uid="{BB6F13FD-BD30-4AF1-852D-E001AF973946}" name="quantidade" dataDxfId="9"/>
    <tableColumn id="5" xr3:uid="{520C821E-04F0-439C-9679-DCACD0868E98}" name="medida"/>
    <tableColumn id="6" xr3:uid="{ADA8FBB2-D348-4332-894C-C8861047A607}" name="Unidades" dataDxfId="8">
      <calculatedColumnFormula>IF(Embalagens[preço] &lt;&gt; "", Embalagens[[#This Row],[preço]] / IF(Embalagens[[#This Row],[medida]] = "unidades", Embalagens[[#This Row],[quantidade]], 1), "")</calculatedColumnFormula>
    </tableColumn>
    <tableColumn id="7" xr3:uid="{FE993820-F0E1-4559-99B3-E3FE857A5610}" name="Quilos" dataDxfId="7">
      <calculatedColumnFormula>IFERROR(Embalagens[[#This Row],[preço]] / (Embalagens[quantidade] / IF(Embalagens[[#This Row],[medida]] = "Gramas", 1000, IF(Embalagens[[#This Row],[medida]] = "Quilos", 1, 0))), "")</calculatedColumnFormula>
    </tableColumn>
    <tableColumn id="8" xr3:uid="{1AD33CA4-CB86-4871-95BF-E092E79B5368}" name="Gramas" dataDxfId="6">
      <calculatedColumnFormula>IFERROR(Embalagens[[#This Row],[preço]] / (Embalagens[quantidade] * IF(Embalagens[[#This Row],[medida]] = "Gramas", 1, IF(Embalagens[[#This Row],[medida]] = "Quilos", 1000, 0))), "")</calculatedColumnFormula>
    </tableColumn>
    <tableColumn id="9" xr3:uid="{4D3F83A8-A9B7-4C3B-A019-98969FA23145}" name="Litros" dataDxfId="5">
      <calculatedColumnFormula>IFERROR(Embalagens[[#This Row],[preço]] / (Embalagens[quantidade] / IF(Embalagens[[#This Row],[medida]] = "ML", 1000, IF(Embalagens[[#This Row],[medida]] = "Litros", 1, 0))), "")</calculatedColumnFormula>
    </tableColumn>
    <tableColumn id="10" xr3:uid="{086F7403-69DE-401F-9CC6-DF3EECA8B9C3}" name="MLs" dataDxfId="4">
      <calculatedColumnFormula>IFERROR(Embalagens[[#This Row],[preço]] / (Embalagens[quantidade] * IF(Embalagens[[#This Row],[medida]] = "ML", 1, IF(Embalagens[[#This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A1696-50FD-46CB-A52D-5B78ECC3CEB5}" name="insumos" displayName="insumos" ref="B4:K122" totalsRowCount="1">
  <autoFilter ref="B4:K121" xr:uid="{0E3A1696-50FD-46CB-A52D-5B78ECC3CEB5}"/>
  <sortState xmlns:xlrd2="http://schemas.microsoft.com/office/spreadsheetml/2017/richdata2" ref="B5:K121">
    <sortCondition ref="C4:C121"/>
  </sortState>
  <tableColumns count="10">
    <tableColumn id="1" xr3:uid="{AEF8934C-CF94-485F-BF30-E97062BD45CB}" name="ID" totalsRowLabel="Total"/>
    <tableColumn id="2" xr3:uid="{AC91F466-F591-48B1-968F-A806A2F90CBC}" name="item"/>
    <tableColumn id="3" xr3:uid="{58478792-F52C-4CCF-8E32-0AB77013444C}" name="preço" totalsRowFunction="sum" dataDxfId="149" totalsRowDxfId="13"/>
    <tableColumn id="4" xr3:uid="{D547F7F8-3294-46C6-81AE-C6C94F156AE1}" name="quantidade" dataDxfId="148"/>
    <tableColumn id="5" xr3:uid="{95A94B38-46C5-49B9-9E79-521D1A2373A7}" name="medida"/>
    <tableColumn id="6" xr3:uid="{2D27CBD4-7DF6-41DC-A565-E0F07250057F}" name="Unidades" dataDxfId="147">
      <calculatedColumnFormula>IF(insumos[preço] &lt;&gt; "", insumos[[#This Row],[preço]] / IF(insumos[[#This Row],[medida]] = "unidades", insumos[[#This Row],[quantidade]], 1), "")</calculatedColumnFormula>
    </tableColumn>
    <tableColumn id="7" xr3:uid="{54FCDAB2-0B1D-4791-8216-7C7496D1679E}" name="Quilos" dataDxfId="146">
      <calculatedColumnFormula>IFERROR(insumos[[#This Row],[preço]] / (insumos[quantidade] / IF(insumos[[#This Row],[medida]] = "Gramas", 1000, IF(insumos[[#This Row],[medida]] = "Quilos", 1, 0))), "")</calculatedColumnFormula>
    </tableColumn>
    <tableColumn id="8" xr3:uid="{4CBC631B-F4CF-4B51-870A-97B01ACBCF67}" name="Gramas" dataDxfId="145">
      <calculatedColumnFormula>IFERROR(insumos[[#This Row],[preço]] / (insumos[quantidade] * IF(insumos[[#This Row],[medida]] = "Gramas", 1, IF(insumos[[#This Row],[medida]] = "Quilos", 1000, 0))), "")</calculatedColumnFormula>
    </tableColumn>
    <tableColumn id="9" xr3:uid="{92AC9074-E501-42EF-9E2A-0D01FF9A649F}" name="Litros" dataDxfId="144">
      <calculatedColumnFormula>IFERROR(insumos[[#This Row],[preço]] / (insumos[quantidade] / IF(insumos[[#This Row],[medida]] = "ML", 1000, IF(insumos[[#This Row],[medida]] = "Litros", 1, 0))), "")</calculatedColumnFormula>
    </tableColumn>
    <tableColumn id="10" xr3:uid="{1E21A96B-F09F-4791-A378-39450AFFB1C0}" name="MLs" dataDxfId="143">
      <calculatedColumnFormula>IFERROR(insumos[[#This Row],[preço]] / (insumos[quantidade] * IF(insumos[[#This Row],[medida]] = "ML", 1, IF(insumos[[#This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369F61-6C24-4039-BB1C-4EDB842534F5}" name="CaProdutos" displayName="CaProdutos" ref="B4:M47" totalsRowShown="0">
  <autoFilter ref="B4:M47" xr:uid="{D7369F61-6C24-4039-BB1C-4EDB84253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875B462-5845-4E84-B673-3C235499E29E}" name="ID" dataDxfId="142"/>
    <tableColumn id="2" xr3:uid="{E9C90977-8832-42AF-A49F-B68E724FAC19}" name="Item"/>
    <tableColumn id="10" xr3:uid="{1508C7ED-E5E7-43B8-BF9F-10A7556E4205}" name="Adicional 1"/>
    <tableColumn id="11" xr3:uid="{0926DDDE-8904-4CDF-9F24-0391B9B176E4}" name="Adicional 2"/>
    <tableColumn id="12" xr3:uid="{CD890D2F-E9DE-431C-9DCA-B062720BB6B4}" name="Adicional 3"/>
    <tableColumn id="3" xr3:uid="{B21B2E1D-FCF1-4A4E-9071-84E63FD0EFF9}" name="Variação"/>
    <tableColumn id="4" xr3:uid="{84C9459C-8BA1-4B0D-A5C2-0638ECCAAD19}" name="Tipo" dataDxfId="141"/>
    <tableColumn id="5" xr3:uid="{4A6EBF21-A360-434F-8C3D-06CF56DD0013}" name="Cat. ABC" dataDxfId="140"/>
    <tableColumn id="8" xr3:uid="{2C9B3CEA-FF91-4A25-94F6-9B4BA4431036}" name="Custo do Lote" dataDxfId="139">
      <calculatedColumnFormula>IF(CaProdutos[[#This Row],[Item]] &lt;&gt; "", SUMIF(Ingredientes[Produto], "=" &amp; CaProdutos[[#This Row],[Item]], Ingredientes[preço]), "")</calculatedColumnFormula>
    </tableColumn>
    <tableColumn id="9" xr3:uid="{B8F663FA-72E6-4DAB-A71C-5E97763D9DAA}" name="Un. Por Lote" dataDxfId="138"/>
    <tableColumn id="6" xr3:uid="{3CB1CA9A-639B-4314-A00D-FCE722D0FF58}" name="Custo de Produção (1 un.)" dataDxfId="137">
      <calculatedColumnFormula>IFERROR(CaProdutos[[#This Row],[Custo do Lote]] / CaProdutos[[#This Row],[Un. Por Lote]], "")</calculatedColumnFormula>
    </tableColumn>
    <tableColumn id="7" xr3:uid="{36B9B430-19A7-4157-AD3C-0F9929769926}" name="Custo Total (1 un.)" dataDxfId="1">
      <calculatedColumnFormula>IFERROR(SUMIF(Embalamento[Produto], "=" &amp; CaProdutos[[#This Row],[Item]], Embalamento[Preço]) + CaProdutos[[#This Row],[Custo de Produção (1 un.)]] / (1 - INDEX(ConfPrec[Despesas Variáveis], 1)), 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E5BEC4-F46D-4364-9C89-77A88EC179C1}" name="estoque" displayName="estoque" ref="B4:G30" totalsRowShown="0">
  <autoFilter ref="B4:G30" xr:uid="{AFE5BEC4-F46D-4364-9C89-77A88EC179C1}"/>
  <tableColumns count="6">
    <tableColumn id="1" xr3:uid="{5C28412F-6E45-4829-9FC9-95B0C7281EA2}" name="ID" dataDxfId="136">
      <calculatedColumnFormula>IF(estoque[[#This Row],[Item]] &lt;&gt; "", INDEX(insumos[ID], MATCH(estoque[[#This Row],[Item]], insumos[item], 0)), "")</calculatedColumnFormula>
    </tableColumn>
    <tableColumn id="2" xr3:uid="{74C78E20-6EA9-4DBA-BBB5-89AC6E710BAD}" name="Item">
      <calculatedColumnFormula>insumos[[#This Row],[item]]</calculatedColumnFormula>
    </tableColumn>
    <tableColumn id="5" xr3:uid="{26798A98-42DF-4492-9823-A75375FEADC3}" name="Quantidade por pacote" dataDxfId="135"/>
    <tableColumn id="3" xr3:uid="{49432CE7-C513-463F-86E0-051E5E410214}" name="Quantidade" dataDxfId="134"/>
    <tableColumn id="4" xr3:uid="{8D79119B-F79D-4FBF-BE75-EE80DF0F4E41}" name="Estimativa" dataDxfId="133"/>
    <tableColumn id="6" xr3:uid="{C9A9FE04-ED1B-4E1E-9B3C-6D67CEEA0506}" name="Medida" dataDxfId="132">
      <calculatedColumnFormula>INDEX(insumos[medida], MATCH(estoque[[#This Row],[Item]], insumos[item], 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258250D-2E46-4174-95B8-567FE117D613}" name="Tabela14" displayName="Tabela14" ref="B4:K37" totalsRowCount="1" headerRowDxfId="131">
  <autoFilter ref="B4:K36" xr:uid="{E258250D-2E46-4174-95B8-567FE117D613}"/>
  <tableColumns count="10">
    <tableColumn id="1" xr3:uid="{77A49A76-E401-4A63-AE1C-6FCA904148F1}" name="ID" totalsRowLabel="Total" dataDxfId="130">
      <calculatedColumnFormula>IFERROR(INDEX(insumos[ID], MATCH(Tabela14[[#This Row],[Item]], insumos[item], 0)), "")</calculatedColumnFormula>
    </tableColumn>
    <tableColumn id="8" xr3:uid="{A6E9EA73-2C28-4FB5-8FA9-93EB080BBAEB}" name="produto"/>
    <tableColumn id="2" xr3:uid="{9C59634F-8794-4F12-B565-39B1B30191B3}" name="Item"/>
    <tableColumn id="3" xr3:uid="{9082897B-FFD1-4BCF-A311-5A639D378483}" name="Preço" totalsRowFunction="sum" dataDxfId="129" totalsRowDxfId="128">
      <calculatedColumnFormula>IF(Tabela14[[#This Row],[ID]] &lt;&gt; "", INDEX(insumos[preço], MATCH(Tabela14[[#This Row],[ID]], insumos[ID], 0)), "")</calculatedColumnFormula>
    </tableColumn>
    <tableColumn id="4" xr3:uid="{78C6A9A2-5267-448D-9911-6F59655F637E}" name="Quantidade Produzida" dataDxfId="127" totalsRowDxfId="126"/>
    <tableColumn id="6" xr3:uid="{7D91B4AE-D319-44D6-9E0D-C51C1893EEBA}" name="Pedido Mínimo" dataDxfId="125" totalsRowDxfId="124">
      <calculatedColumnFormula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calculatedColumnFormula>
    </tableColumn>
    <tableColumn id="11" xr3:uid="{3C492890-1B93-444F-A9B4-6878FA488F0A}" name="Pedido" dataDxfId="123">
      <calculatedColumnFormula>IFERROR(ROUNDUP(Tabela14[[#This Row],[Pedido Mínimo]], Tabela14[[#This Row],[Arredondar]]), "")</calculatedColumnFormula>
    </tableColumn>
    <tableColumn id="12" xr3:uid="{103DC993-4604-4F18-88CE-319645E8309F}" name="Arredondar"/>
    <tableColumn id="7" xr3:uid="{DE9B8AE2-15D2-41DF-9326-4233440C14E6}" name="Total" totalsRowFunction="custom" dataDxfId="122" totalsRowDxfId="121">
      <calculatedColumnFormula>IFERROR(Tabela14[[#This Row],[Pedido Mínimo]] * Tabela14[[#This Row],[Preço]], "")</calculatedColumnFormula>
      <totalsRowFormula>SUMIF(Tabela14[Total], "&gt;" &amp; 0)</totalsRowFormula>
    </tableColumn>
    <tableColumn id="10" xr3:uid="{7DAFC002-C5CA-4676-8A01-8E99D4ACF4B2}" name="Total Arredondado" totalsRowFunction="custom" dataDxfId="120" totalsRowDxfId="119">
      <calculatedColumnFormula>IFERROR(Tabela14[[#This Row],[Pedido]] * Tabela14[[#This Row],[Preço]], "")</calculatedColumnFormula>
      <totalsRowFormula>SUMIF(Tabela14[Total Arredondado], "&gt;" &amp; 0)</totalsRow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2829F8-B835-41DA-8F72-C1A6427E1025}" name="CFMensais" displayName="CFMensais" ref="B4:D12" totalsRowCount="1">
  <autoFilter ref="B4:D11" xr:uid="{792829F8-B835-41DA-8F72-C1A6427E1025}"/>
  <tableColumns count="3">
    <tableColumn id="1" xr3:uid="{C77E1A05-90EC-4FCF-8E77-4304B6A5D693}" name="Descrição" totalsRowLabel="Total" dataDxfId="118" totalsRowDxfId="117"/>
    <tableColumn id="2" xr3:uid="{DACE7FA5-9D3B-46C4-B2AC-BDAC3739054D}" name="Valor" totalsRowFunction="sum" dataDxfId="116" totalsRowDxfId="115"/>
    <tableColumn id="3" xr3:uid="{FAE96413-DE57-47C0-9CB1-4DAB463B8328}" name="Porcentagem" totalsRowFunction="sum" dataDxfId="114" totalsRowDxfId="113" dataCellStyle="Porcentagem">
      <calculatedColumnFormula>CFMensais[[#This Row],[Valor]]/SUM(CFMensais[Valor])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E56D14-A578-4D35-923D-D69A6E0E80B4}" name="DespesasVariaveis" displayName="DespesasVariaveis" ref="B4:C21" totalsRowCount="1">
  <autoFilter ref="B4:C20" xr:uid="{46E56D14-A578-4D35-923D-D69A6E0E80B4}"/>
  <tableColumns count="2">
    <tableColumn id="1" xr3:uid="{F46B688C-2C93-43A5-97FB-0C249A4E2851}" name="Item" totalsRowLabel="Total"/>
    <tableColumn id="2" xr3:uid="{D1A5DD07-D371-4887-93AA-6D9C1018C992}" name="Porcentagem" totalsRowFunction="sum" dataDxfId="112" totalsRowDxfId="111" dataCellStyle="Porcentagem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277DD-F13B-4C74-B3E5-CE8E3B9AB914}" name="Precificação" displayName="Precificação" ref="B4:I42" totalsRowCount="1">
  <autoFilter ref="B4:I41" xr:uid="{B9C277DD-F13B-4C74-B3E5-CE8E3B9AB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78409D5-77DB-4869-94C9-54ECEFE3340E}" name="ID" totalsRowLabel="Total" dataDxfId="110">
      <calculatedColumnFormula>CaProdutos[[#This Row],[ID]]</calculatedColumnFormula>
    </tableColumn>
    <tableColumn id="2" xr3:uid="{80399408-22AE-4718-8093-1B6EA0495E87}" name="Item" dataDxfId="109">
      <calculatedColumnFormula>IF(INDEX(CaProdutos[Item], MATCH(Precificação[[#This Row],[ID]], CaProdutos[ID], 0)) &lt;&gt; "", INDEX(CaProdutos[Item], MATCH(Precificação[[#This Row],[ID]], CaProdutos[ID], 0)), "")</calculatedColumnFormula>
    </tableColumn>
    <tableColumn id="3" xr3:uid="{279AC788-2327-4717-AFD6-7407E50AB189}" name="Preço de Custo" totalsRowFunction="sum" dataDxfId="108" totalsRowDxfId="19">
      <calculatedColumnFormula>IF(Precificação[[#This Row],[Item]] &lt;&gt; "", INDEX(CaProdutos[Custo de Produção (1 un.)], MATCH(Precificação[[#This Row],[ID]], CaProdutos[ID], 0)), "")</calculatedColumnFormula>
    </tableColumn>
    <tableColumn id="4" xr3:uid="{0649EF67-0F7F-4A09-AC7A-18C9B373107F}" name="Preço de Venda" totalsRowFunction="sum" dataDxfId="107" totalsRowDxfId="18">
      <calculatedColumnFormula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calculatedColumnFormula>
    </tableColumn>
    <tableColumn id="8" xr3:uid="{DD816DB1-92EB-43FF-ACD3-8A486018FCD7}" name="Preço Definitivo" totalsRowFunction="sum" dataDxfId="106" totalsRowDxfId="17"/>
    <tableColumn id="5" xr3:uid="{A82E02EE-8D64-4895-BB71-4C1827945A9D}" name="Lucro Bruto" totalsRowFunction="sum" dataDxfId="105" totalsRowDxfId="16">
      <calculatedColumnFormula>IFERROR(Precificação[[#This Row],[Preço Definitivo]] - INDEX(CaProdutos[Custo Total (1 un.)], MATCH(Precificação[[#This Row],[ID]], CaProdutos[ID], 0)), "")</calculatedColumnFormula>
    </tableColumn>
    <tableColumn id="6" xr3:uid="{C3221194-AB43-4E04-AB66-C72EE2AE972F}" name="Lucro Líquido" totalsRowFunction="sum" dataDxfId="104" totalsRowDxfId="15">
      <calculatedColumnFormula>IFERROR(Precificação[[#This Row],[Lucro Bruto]] - INDEX(ConfPrec[Rateio de Custos Fixos], 1), "")</calculatedColumnFormula>
    </tableColumn>
    <tableColumn id="7" xr3:uid="{2B377DBE-D162-4943-B103-07B18410E2A4}" name="Incluir C.F?" dataDxfId="103" totalsRowDxfId="14">
      <calculatedColumnFormula>IF(Precificação[[#This Row],[Item]] &lt;&gt; "", INDEX(ConfPrec[C.F nos custos totais?], 1), 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19F555-BAFC-42BF-BD62-61F31BAE5241}" name="retorno" displayName="retorno" ref="B4:H21" totalsRowCount="1">
  <autoFilter ref="B4:H20" xr:uid="{9919F555-BAFC-42BF-BD62-61F31BAE5241}"/>
  <tableColumns count="7">
    <tableColumn id="1" xr3:uid="{FA7B704B-41C1-4A94-84ED-4ED1E420E3DC}" name="Qtd. Vendida" totalsRowFunction="sum"/>
    <tableColumn id="2" xr3:uid="{8D9D08E5-AAE6-4B79-AA05-1996DD5978B6}" name="ID" dataDxfId="102">
      <calculatedColumnFormula>IFERROR(INDEX(CaProdutos[ID], MATCH(retorno[[#This Row],[Item]], CaProdutos[Item], 0)), "")</calculatedColumnFormula>
    </tableColumn>
    <tableColumn id="3" xr3:uid="{AA7D1B85-4479-4DDB-A3C9-FB96E376709F}" name="Item" dataDxfId="101"/>
    <tableColumn id="4" xr3:uid="{EAFC3056-C7CB-491B-9000-51B9E9440E8E}" name="Faturamento" totalsRowFunction="sum" dataDxfId="100" totalsRowDxfId="99">
      <calculatedColumnFormula>IFERROR(INDEX(Precificação[Preço de Venda], MATCH(retorno[[#This Row],[ID]], CaProdutos[ID], 0)) * retorno[[#This Row],[Qtd. Vendida]], "")</calculatedColumnFormula>
    </tableColumn>
    <tableColumn id="5" xr3:uid="{4454691F-8D80-4F71-8525-984698A2F95C}" name="Lucro Bruto" totalsRowFunction="sum" dataDxfId="98" totalsRowDxfId="97">
      <calculatedColumnFormula>IFERROR(INDEX(Precificação[Lucro Bruto], MATCH(retorno[[#This Row],[ID]], CaProdutos[ID], 0)) * retorno[[#This Row],[Qtd. Vendida]], "")</calculatedColumnFormula>
    </tableColumn>
    <tableColumn id="6" xr3:uid="{02A54610-79AA-450A-8FD3-099044F9D72E}" name="Lucro Líquido" totalsRowFunction="sum" dataDxfId="96" totalsRowDxfId="95">
      <calculatedColumnFormula>IFERROR(retorno[[#This Row],[Lucro Bruto]] - (CFMensais[[#Totals], [Valor]] / retorno[[#Totals], [Qtd. Vendida]] * retorno[[#This Row],[Qtd. Vendida]]), "")</calculatedColumnFormula>
    </tableColumn>
    <tableColumn id="7" xr3:uid="{436249D0-E8FD-4DCF-9A5C-7F06E5C5171B}" name="Rateio de C.F" dataDxfId="94" totalsRowDxfId="93">
      <calculatedColumnFormula>IF(retorno[[#This Row],[Lucro Líquido]] &lt;&gt; "", CFMensais[[#Totals], [Valor]] / retorno[[#Totals], [Qtd. Vendida]], 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9DBF56-C6CE-4437-9AD4-46928F6AAC52}" name="compras" displayName="compras" ref="B4:G51" totalsRowCount="1">
  <autoFilter ref="B4:G50" xr:uid="{849DBF56-C6CE-4437-9AD4-46928F6AAC52}"/>
  <tableColumns count="6">
    <tableColumn id="6" xr3:uid="{58E986E8-25BB-4CF7-B4CE-C0E2C42DFD05}" name="Data" dataDxfId="92"/>
    <tableColumn id="1" xr3:uid="{935B43C5-3926-47BF-AF57-70D23CBA5301}" name="ID" totalsRowLabel="Total" dataDxfId="91">
      <calculatedColumnFormula>IFERROR(INDEX(insumos[ID], MATCH(compras[[#This Row],[Item]], insumos[item], 0)), "")</calculatedColumnFormula>
    </tableColumn>
    <tableColumn id="2" xr3:uid="{436297E2-E833-451A-A9F1-C6006D3E72C7}" name="Item"/>
    <tableColumn id="3" xr3:uid="{EA1D1095-9C20-452C-A2D6-4B7DA5E14287}" name="Qtd." dataDxfId="90" totalsRowDxfId="89"/>
    <tableColumn id="5" xr3:uid="{8D70BD6D-8C38-488C-9095-D9815FADA256}" name="Medida" dataDxfId="88" totalsRowDxfId="87">
      <calculatedColumnFormula>IFERROR(INDEX(insumos[medida], MATCH(compras[[#This Row],[Item]], insumos[item], 0)), "")</calculatedColumnFormula>
    </tableColumn>
    <tableColumn id="4" xr3:uid="{73250456-953F-40D8-9EC1-7AED49914F3D}" name="Valor" totalsRowFunction="sum" dataDxfId="86" totalsRowDxfId="8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FA05AD-1DCB-409B-B6A9-88058BA3262C}" name="vendas" displayName="vendas" ref="B4:M137" totalsRowCount="1">
  <autoFilter ref="B4:M136" xr:uid="{14FA05AD-1DCB-409B-B6A9-88058BA3262C}"/>
  <sortState xmlns:xlrd2="http://schemas.microsoft.com/office/spreadsheetml/2017/richdata2" ref="B5:M31">
    <sortCondition ref="B4:B31"/>
  </sortState>
  <tableColumns count="12">
    <tableColumn id="11" xr3:uid="{108170D9-0D3E-4AA5-9CC5-5659FA821221}" name="data" totalsRowLabel="Total" dataDxfId="84"/>
    <tableColumn id="1" xr3:uid="{F99A6E17-FD72-452F-84AF-E5B4D0F2214F}" name="ID" dataDxfId="83">
      <calculatedColumnFormula>IFERROR(INDEX(CaProdutos[ID], MATCH(vendas[[#This Row],[Item]], CaProdutos[Item], 0)), "")</calculatedColumnFormula>
    </tableColumn>
    <tableColumn id="2" xr3:uid="{797565AB-DEFB-443B-ADBC-4A060382FAC5}" name="Item"/>
    <tableColumn id="9" xr3:uid="{5E69B422-4C0D-404A-9584-39EC4211C8D2}" name="Adicional 1"/>
    <tableColumn id="10" xr3:uid="{80E9BFD3-C699-48DF-8E3F-A5C8FD4A587D}" name="Adicional 2"/>
    <tableColumn id="12" xr3:uid="{54AC79DE-9D31-4AF6-9EE6-9FB89904E138}" name="Adicional 3"/>
    <tableColumn id="3" xr3:uid="{0883BE6B-ADFF-4ADC-8D2E-26477DEB9D6C}" name="Qtd." totalsRowFunction="sum" dataDxfId="82" totalsRowDxfId="81"/>
    <tableColumn id="4" xr3:uid="{56BD40CE-E232-447D-9CFF-6BE2D8952912}" name="Valor" totalsRowFunction="sum" dataDxfId="80" totalsRowDxfId="79"/>
    <tableColumn id="5" xr3:uid="{241DF345-51F8-4532-9688-9366BB339E4A}" name="Método de Pagamento" dataDxfId="78" totalsRowDxfId="77"/>
    <tableColumn id="6" xr3:uid="{86270BDA-BC70-4645-8F2A-6726A734DA43}" name="Recebimento" totalsRowFunction="sum" dataDxfId="76" totalsRowDxfId="75">
      <calculatedColumnFormula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calculatedColumnFormula>
    </tableColumn>
    <tableColumn id="7" xr3:uid="{D9AD4399-A8B9-4E98-AC03-9C4B69943D5E}" name="Lucro Bruto" totalsRowFunction="sum" dataDxfId="74" totalsRowDxfId="73">
      <calculatedColumnFormula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calculatedColumnFormula>
    </tableColumn>
    <tableColumn id="8" xr3:uid="{9D5D7761-6BCB-441C-921E-3228AEB2B7C1}" name="Lucro Líquido" totalsRowFunction="sum" dataDxfId="72" totalsRowDxfId="71">
      <calculatedColumnFormula>IFERROR(vendas[[#This Row],[Lucro Bruto]] - ConfPrec[Rateio de Custos Fixos] * vendas[[#This Row],[Qtd.]], "")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CFEE75-9E4F-4C4E-BED2-F0AD8C4784B7}" name="relatório" displayName="relatório" ref="B4:F5" totalsRowShown="0" headerRowDxfId="70" dataDxfId="69">
  <autoFilter ref="B4:F5" xr:uid="{26CFEE75-9E4F-4C4E-BED2-F0AD8C4784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4A698CF-4551-4DA1-AB3D-D272179B37E8}" name="Faturamento" dataDxfId="68">
      <calculatedColumnFormula>vendas[[#Totals],[Recebimento]]</calculatedColumnFormula>
    </tableColumn>
    <tableColumn id="2" xr3:uid="{776E68A2-9BD8-40FF-9EC3-850F3D770BFC}" name="Lucro Bruto" dataDxfId="67">
      <calculatedColumnFormula>vendas[[#Totals],[Lucro Bruto]]</calculatedColumnFormula>
    </tableColumn>
    <tableColumn id="3" xr3:uid="{D3F79CA8-9E68-4B84-BFA7-5BA039AB8949}" name="Lucro Líquido" dataDxfId="66">
      <calculatedColumnFormula>vendas[[#Totals],[Lucro Líquido]]</calculatedColumnFormula>
    </tableColumn>
    <tableColumn id="4" xr3:uid="{27D6C960-4D7F-4949-9F98-81ABFB2F202B}" name="Reestoque" dataDxfId="65">
      <calculatedColumnFormula>relatório[[#This Row],[Faturamento]]-relatório[[#This Row],[Lucro Bruto]]</calculatedColumnFormula>
    </tableColumn>
    <tableColumn id="5" xr3:uid="{E3206445-33FD-45B0-800A-63B44C1B98A9}" name="Custos Fixos" dataDxfId="64">
      <calculatedColumnFormula>relatório[[#This Row],[Lucro Bruto]]-relatório[[#This Row],[Lucro Líquido]]</calculatedColumnFormula>
    </tableColumn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A1EB1-0745-4BFA-8758-B7DAE208DD21}" name="Tabela17" displayName="Tabela17" ref="H4:L164" totalsRowShown="0" headerRowDxfId="63">
  <autoFilter ref="H4:L164" xr:uid="{360A1EB1-0745-4BFA-8758-B7DAE208DD2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6D6961-58BB-4C67-A6F5-821DF6201B25}" name="ID" dataDxfId="62">
      <calculatedColumnFormula>insumos[ID]</calculatedColumnFormula>
    </tableColumn>
    <tableColumn id="2" xr3:uid="{5920AE55-1FB5-429C-B710-0CC647A2BEBD}" name="item" dataDxfId="61">
      <calculatedColumnFormula>insumos[item]</calculatedColumnFormula>
    </tableColumn>
    <tableColumn id="3" xr3:uid="{A31387DE-0866-46AF-8774-6656CDC35CD4}" name="quantidade" dataDxfId="60">
      <calculatedColumnFormula>SUMIF(Ingredientes[item], Tabela17[[#This Row],[item]], Ingredientes[qtd.])</calculatedColumnFormula>
    </tableColumn>
    <tableColumn id="4" xr3:uid="{6C0E557B-5B09-41D7-9339-5987F1D7A91C}" name="medida"/>
    <tableColumn id="5" xr3:uid="{7ADD7EF0-1552-4EA6-A93D-E75DAC3BC196}" name="valor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9C8A7B-2DD3-4563-BD99-85DF9229695C}" name="Tabela18" displayName="Tabela18" ref="N4:O12" totalsRowCount="1">
  <autoFilter ref="N4:O11" xr:uid="{2D9C8A7B-2DD3-4563-BD99-85DF9229695C}"/>
  <tableColumns count="2">
    <tableColumn id="1" xr3:uid="{51F5133D-0DBB-4940-8862-DF694C316543}" name="Item" totalsRowLabel="Total" dataDxfId="59">
      <calculatedColumnFormula>CFMensais[[#This Row],[Descrição]]</calculatedColumnFormula>
    </tableColumn>
    <tableColumn id="2" xr3:uid="{3AF600E0-2360-4B8B-9FD6-4A4A9695D148}" name="valor" totalsRowFunction="sum" dataDxfId="58" totalsRowDxfId="57">
      <calculatedColumnFormula>IF(CFMensais[[#This Row],[Porcentagem]] * INDEX(relatório[Custos Fixos], 1) &lt;= CFMensais[[#This Row],[Valor]], CFMensais[[#This Row],[Porcentagem]] * INDEX(relatório[Custos Fixos], 1), CFMensais[[#This Row],[Valor]])</calculatedColumnFormula>
    </tableColumn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C4F49D-5096-4947-87F5-B5F1EC3B4E4E}" name="Tabela19" displayName="Tabela19" ref="B4:O125" totalsRowCount="1" headerRowDxfId="56" dataDxfId="55">
  <autoFilter ref="B4:O124" xr:uid="{65C4F49D-5096-4947-87F5-B5F1EC3B4E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35516677-187C-404C-8CC3-CCC0602A1689}" name="Data" totalsRowLabel="Total" dataDxfId="54" totalsRowDxfId="53"/>
    <tableColumn id="11" xr3:uid="{A8C8338D-1FC7-475D-824A-FA5D138945F6}" name="Investimento" totalsRowFunction="sum" dataDxfId="52" totalsRowDxfId="51"/>
    <tableColumn id="12" xr3:uid="{C516A1A8-6031-4D70-8E01-E85D6C8C956A}" name="Pró-Labore" totalsRowFunction="sum" dataDxfId="50" totalsRowDxfId="49"/>
    <tableColumn id="14" xr3:uid="{5CA0DA85-8CD9-49F5-86BA-7B41A499D4D3}" name="Vendas" dataDxfId="48" totalsRowDxfId="47">
      <calculatedColumnFormula>SUMIF(vendas[data], Tabela19[[#This Row],[Data]], vendas[Qtd.])</calculatedColumnFormula>
    </tableColumn>
    <tableColumn id="2" xr3:uid="{A4692D90-6536-4FC3-97F3-48DFA035917C}" name="Entradas" totalsRowFunction="sum" dataDxfId="46" totalsRowDxfId="45">
      <calculatedColumnFormula>SUMIF(vendas[data], Tabela19[[#This Row],[Data]], vendas[Recebimento])</calculatedColumnFormula>
    </tableColumn>
    <tableColumn id="3" xr3:uid="{FE3A340B-E97C-4E17-99FC-67B51CBCD909}" name="Saídas" totalsRowFunction="sum" dataDxfId="44" totalsRowDxfId="43">
      <calculatedColumnFormula>SUMIF(compras[Data], Tabela19[[#This Row],[Data]], compras[Valor])</calculatedColumnFormula>
    </tableColumn>
    <tableColumn id="9" xr3:uid="{2C6296A1-FAA8-4619-8AF6-91FC672DFB46}" name="Bruto" totalsRowFunction="sum" dataDxfId="42" totalsRowDxfId="41">
      <calculatedColumnFormula>SUMIF(vendas[data], Tabela19[[#This Row],[Data]], vendas[Lucro Bruto])</calculatedColumnFormula>
    </tableColumn>
    <tableColumn id="10" xr3:uid="{DFAF166B-DB8D-4706-B6D7-F9866768B069}" name="Líquido" totalsRowFunction="sum" dataDxfId="40" totalsRowDxfId="39">
      <calculatedColumnFormula>SUMIF(vendas[data], Tabela19[[#This Row],[Data]], vendas[Lucro Líquido])</calculatedColumnFormula>
    </tableColumn>
    <tableColumn id="4" xr3:uid="{0463166A-5088-4D88-BA76-9604333C127F}" name="Faturamento" totalsRowFunction="average" dataDxfId="38" totalsRowDxfId="37">
      <calculatedColumnFormula>SUM($F$5:$F5) - SUM($G$5:$G5)</calculatedColumnFormula>
    </tableColumn>
    <tableColumn id="5" xr3:uid="{053A2C4C-67B8-4A4E-BEA9-07C1F0A39A14}" name="Lucro Bruto" totalsRowFunction="average" dataDxfId="36" totalsRowDxfId="35">
      <calculatedColumnFormula>SUM($H$5:$H5) - SUM($G$5:$G5)</calculatedColumnFormula>
    </tableColumn>
    <tableColumn id="6" xr3:uid="{C0A2A12A-F001-4842-A94A-6A8B5B79F583}" name="Lucro Líquido" totalsRowFunction="average" dataDxfId="34" totalsRowDxfId="33">
      <calculatedColumnFormula>SUM($I$5:$I5) - SUM($G$5:$G5)</calculatedColumnFormula>
    </tableColumn>
    <tableColumn id="7" xr3:uid="{9F544DFD-CF5B-4756-87C5-A716AAA3AD4C}" name="Reestoque" totalsRowFunction="average" dataDxfId="32" totalsRowDxfId="31">
      <calculatedColumnFormula>SUM($F$5:$F5) - SUM($H$5:$H5)</calculatedColumnFormula>
    </tableColumn>
    <tableColumn id="8" xr3:uid="{C3F2FABB-FB4A-409D-BDA3-17C258A59D11}" name="Custos Fixos" totalsRowFunction="average" dataDxfId="30" totalsRowDxfId="29">
      <calculatedColumnFormula>SUM($H$5:$H5) - SUM($I$5:$I5)</calculatedColumnFormula>
    </tableColumn>
    <tableColumn id="13" xr3:uid="{2A1C043B-4D43-4263-B352-0339C488F062}" name="Caixa" totalsRowFunction="average" dataDxfId="28" totalsRowDxfId="27">
      <calculatedColumnFormula>Tabela19[Faturamento] + SUM($C$5:$C5) - SUM($D$5:$D5)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F4F0-3047-406A-9119-0718F05723AB}">
  <sheetPr codeName="Planilha1"/>
  <dimension ref="B2:R11"/>
  <sheetViews>
    <sheetView topLeftCell="G1" workbookViewId="0">
      <selection activeCell="O12" sqref="O12"/>
    </sheetView>
  </sheetViews>
  <sheetFormatPr defaultRowHeight="15"/>
  <cols>
    <col min="2" max="5" width="13.7109375" customWidth="1"/>
    <col min="6" max="6" width="10.7109375" customWidth="1"/>
    <col min="7" max="12" width="13.7109375" customWidth="1"/>
    <col min="14" max="14" width="15.7109375" customWidth="1"/>
    <col min="16" max="18" width="15.7109375" customWidth="1"/>
  </cols>
  <sheetData>
    <row r="2" spans="2:18">
      <c r="B2" s="49" t="s">
        <v>16</v>
      </c>
      <c r="C2" s="49"/>
      <c r="D2" s="49"/>
      <c r="E2" s="49"/>
      <c r="G2" s="49" t="s">
        <v>53</v>
      </c>
      <c r="H2" s="49"/>
      <c r="I2" s="49"/>
      <c r="J2" s="49"/>
      <c r="K2" s="49"/>
      <c r="L2" s="49"/>
      <c r="N2" s="19" t="s">
        <v>54</v>
      </c>
      <c r="P2" s="49" t="s">
        <v>69</v>
      </c>
      <c r="Q2" s="49"/>
      <c r="R2" s="49"/>
    </row>
    <row r="4" spans="2:18" ht="30">
      <c r="B4" s="4" t="s">
        <v>12</v>
      </c>
      <c r="C4" s="4" t="s">
        <v>13</v>
      </c>
      <c r="D4" s="4" t="s">
        <v>14</v>
      </c>
      <c r="E4" s="4" t="s">
        <v>15</v>
      </c>
      <c r="G4" s="11" t="s">
        <v>28</v>
      </c>
      <c r="H4" s="11" t="s">
        <v>27</v>
      </c>
      <c r="I4" s="11" t="s">
        <v>29</v>
      </c>
      <c r="J4" s="11" t="s">
        <v>30</v>
      </c>
      <c r="K4" s="11" t="s">
        <v>31</v>
      </c>
      <c r="L4" s="11" t="s">
        <v>32</v>
      </c>
      <c r="N4" s="1" t="s">
        <v>56</v>
      </c>
      <c r="P4" s="1" t="s">
        <v>70</v>
      </c>
      <c r="Q4" s="1" t="s">
        <v>71</v>
      </c>
      <c r="R4" s="1" t="s">
        <v>72</v>
      </c>
    </row>
    <row r="5" spans="2:18">
      <c r="B5">
        <v>2880</v>
      </c>
      <c r="C5">
        <v>1440</v>
      </c>
      <c r="D5" s="3">
        <v>7150</v>
      </c>
      <c r="E5" s="3">
        <v>5500</v>
      </c>
      <c r="G5" s="8">
        <f>CFMensais[[#Totals],[Valor]] / PrevVendas[[#This Row],[Mínimo de vendas]]</f>
        <v>2.8368055555555554</v>
      </c>
      <c r="H5" s="12">
        <f>DespesasVariaveis[[#Totals],[Porcentagem]]</f>
        <v>0.27300000000000002</v>
      </c>
      <c r="I5" s="14">
        <v>0.3</v>
      </c>
      <c r="J5" s="14">
        <v>0.3</v>
      </c>
      <c r="K5" s="14">
        <v>0.3</v>
      </c>
      <c r="L5" s="14" t="s">
        <v>114</v>
      </c>
      <c r="N5" t="s">
        <v>55</v>
      </c>
      <c r="P5" t="s">
        <v>73</v>
      </c>
      <c r="Q5" s="27">
        <v>0</v>
      </c>
      <c r="R5" s="27">
        <v>0</v>
      </c>
    </row>
    <row r="6" spans="2:18">
      <c r="N6" t="s">
        <v>57</v>
      </c>
      <c r="P6" t="s">
        <v>74</v>
      </c>
      <c r="Q6" s="27">
        <v>0</v>
      </c>
      <c r="R6" s="27">
        <v>0</v>
      </c>
    </row>
    <row r="7" spans="2:18">
      <c r="N7" t="s">
        <v>58</v>
      </c>
      <c r="P7" t="s">
        <v>75</v>
      </c>
      <c r="Q7" s="27">
        <v>0</v>
      </c>
      <c r="R7" s="27">
        <v>2.7900000000000001E-2</v>
      </c>
    </row>
    <row r="8" spans="2:18">
      <c r="N8" t="s">
        <v>84</v>
      </c>
      <c r="P8" t="s">
        <v>76</v>
      </c>
      <c r="Q8" s="27">
        <v>0</v>
      </c>
      <c r="R8" s="27">
        <v>5.9900000000000002E-2</v>
      </c>
    </row>
    <row r="9" spans="2:18">
      <c r="N9" t="s">
        <v>85</v>
      </c>
      <c r="P9" t="s">
        <v>77</v>
      </c>
      <c r="Q9" s="27">
        <v>0</v>
      </c>
      <c r="R9" s="27">
        <v>1</v>
      </c>
    </row>
    <row r="10" spans="2:18">
      <c r="N10" t="s">
        <v>249</v>
      </c>
    </row>
    <row r="11" spans="2:18">
      <c r="N11" t="s">
        <v>248</v>
      </c>
    </row>
  </sheetData>
  <mergeCells count="3">
    <mergeCell ref="B2:E2"/>
    <mergeCell ref="G2:L2"/>
    <mergeCell ref="P2:R2"/>
  </mergeCells>
  <dataValidations count="1">
    <dataValidation type="list" allowBlank="1" showInputMessage="1" showErrorMessage="1" sqref="L5" xr:uid="{B917A0A6-33D3-4641-9729-A734D91D8499}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29C6A-42FC-40B7-9E5E-B5CA6A115104}">
  <sheetPr codeName="Planilha2"/>
  <dimension ref="C3:Z263"/>
  <sheetViews>
    <sheetView tabSelected="1" topLeftCell="A22" zoomScale="90" zoomScaleNormal="90" workbookViewId="0">
      <selection activeCell="M32" sqref="M32"/>
    </sheetView>
  </sheetViews>
  <sheetFormatPr defaultRowHeight="15"/>
  <cols>
    <col min="3" max="3" width="31" bestFit="1" customWidth="1"/>
    <col min="4" max="4" width="8.7109375" customWidth="1"/>
    <col min="5" max="5" width="27" bestFit="1" customWidth="1"/>
    <col min="6" max="9" width="15.7109375" customWidth="1"/>
    <col min="10" max="10" width="18.85546875" customWidth="1"/>
    <col min="11" max="11" width="15.7109375" customWidth="1"/>
    <col min="14" max="14" width="13.85546875" customWidth="1"/>
  </cols>
  <sheetData>
    <row r="3" spans="3:9">
      <c r="C3" s="49" t="s">
        <v>52</v>
      </c>
      <c r="D3" s="49"/>
      <c r="E3" s="49"/>
      <c r="F3" s="49"/>
      <c r="G3" s="49"/>
      <c r="H3" s="49"/>
      <c r="I3" s="49"/>
    </row>
    <row r="4" spans="3:9">
      <c r="C4" t="s">
        <v>51</v>
      </c>
      <c r="D4" s="1" t="s">
        <v>4</v>
      </c>
      <c r="E4" t="s">
        <v>0</v>
      </c>
      <c r="F4" s="1" t="s">
        <v>1</v>
      </c>
      <c r="G4" s="1" t="s">
        <v>2</v>
      </c>
      <c r="H4" s="1" t="s">
        <v>131</v>
      </c>
      <c r="I4" s="1" t="s">
        <v>3</v>
      </c>
    </row>
    <row r="5" spans="3:9">
      <c r="C5" t="s">
        <v>222</v>
      </c>
      <c r="D5" s="1">
        <f>IFERROR(
INDEX(insumos[ID],MATCH(Ingredientes[[#This Row],[item]],insumos[item],0)),
IFERROR(
INDEX(CaProdutos[ID],MATCH(Ingredientes[[#This Row],[item]],CaProdutos[Item],0)),
""
))</f>
        <v>41</v>
      </c>
      <c r="E5" t="s">
        <v>194</v>
      </c>
      <c r="F5" s="1">
        <v>1</v>
      </c>
      <c r="G5" s="1" t="str">
        <f>IFERROR(
INDEX(insumos[medida],MATCH(Ingredientes[[#This Row],[item]],insumos[item],0)),
IFERROR(
IF(MATCH(Ingredientes[[#This Row],[item]],CaProdutos[Item],0)&gt;0,"Unidades",""),
""
))</f>
        <v>Unidades</v>
      </c>
      <c r="H5" s="1">
        <f>IFERROR(INDEX(CaProdutos[Un. Por Lote], MATCH(Ingredientes[[#This Row],[Produto]], CaProdutos[Item], 0)), "")</f>
        <v>1</v>
      </c>
      <c r="I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6" spans="3:9">
      <c r="C6" t="s">
        <v>217</v>
      </c>
      <c r="D6" s="1">
        <f>IFERROR(
INDEX(insumos[ID],MATCH(Ingredientes[[#This Row],[item]],insumos[item],0)),
IFERROR(
INDEX(CaProdutos[ID],MATCH(Ingredientes[[#This Row],[item]],CaProdutos[Item],0)),
""
))</f>
        <v>115</v>
      </c>
      <c r="E6" t="s">
        <v>237</v>
      </c>
      <c r="F6" s="1">
        <v>1</v>
      </c>
      <c r="G6" s="1" t="str">
        <f>IFERROR(
INDEX(insumos[medida],MATCH(Ingredientes[[#This Row],[item]],insumos[item],0)),
IFERROR(
IF(MATCH(Ingredientes[[#This Row],[item]],CaProdutos[Item],0)&gt;0,"Unidades",""),
""
))</f>
        <v>Unidades</v>
      </c>
      <c r="H6" s="1">
        <f>IFERROR(INDEX(CaProdutos[Un. Por Lote], MATCH(Ingredientes[[#This Row],[Produto]], CaProdutos[Item], 0)), "")</f>
        <v>1</v>
      </c>
      <c r="I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8.125</v>
      </c>
    </row>
    <row r="7" spans="3:9">
      <c r="C7" t="s">
        <v>218</v>
      </c>
      <c r="D7" s="1">
        <f>IFERROR(
INDEX(insumos[ID],MATCH(Ingredientes[[#This Row],[item]],insumos[item],0)),
IFERROR(
INDEX(CaProdutos[ID],MATCH(Ingredientes[[#This Row],[item]],CaProdutos[Item],0)),
""
))</f>
        <v>109</v>
      </c>
      <c r="E7" t="s">
        <v>231</v>
      </c>
      <c r="F7" s="1">
        <v>1</v>
      </c>
      <c r="G7" s="1" t="str">
        <f>IFERROR(
INDEX(insumos[medida],MATCH(Ingredientes[[#This Row],[item]],insumos[item],0)),
IFERROR(
IF(MATCH(Ingredientes[[#This Row],[item]],CaProdutos[Item],0)&gt;0,"Unidades",""),
""
))</f>
        <v>Unidades</v>
      </c>
      <c r="H7" s="1">
        <f>IFERROR(INDEX(CaProdutos[Un. Por Lote], MATCH(Ingredientes[[#This Row],[Produto]], CaProdutos[Item], 0)), "")</f>
        <v>1</v>
      </c>
      <c r="I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3.8000000000000003</v>
      </c>
    </row>
    <row r="8" spans="3:9">
      <c r="C8" t="s">
        <v>219</v>
      </c>
      <c r="D8" s="1">
        <f>IFERROR(
INDEX(insumos[ID],MATCH(Ingredientes[[#This Row],[item]],insumos[item],0)),
IFERROR(
INDEX(CaProdutos[ID],MATCH(Ingredientes[[#This Row],[item]],CaProdutos[Item],0)),
""
))</f>
        <v>110</v>
      </c>
      <c r="E8" t="s">
        <v>232</v>
      </c>
      <c r="F8" s="1">
        <v>1</v>
      </c>
      <c r="G8" s="1" t="str">
        <f>IFERROR(
INDEX(insumos[medida],MATCH(Ingredientes[[#This Row],[item]],insumos[item],0)),
IFERROR(
IF(MATCH(Ingredientes[[#This Row],[item]],CaProdutos[Item],0)&gt;0,"Unidades",""),
""
))</f>
        <v>Unidades</v>
      </c>
      <c r="H8" s="1">
        <f>IFERROR(INDEX(CaProdutos[Un. Por Lote], MATCH(Ingredientes[[#This Row],[Produto]], CaProdutos[Item], 0)), "")</f>
        <v>1</v>
      </c>
      <c r="I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</v>
      </c>
    </row>
    <row r="9" spans="3:9">
      <c r="C9" t="s">
        <v>211</v>
      </c>
      <c r="D9" s="1">
        <f>IFERROR(
INDEX(insumos[ID],MATCH(Ingredientes[[#This Row],[item]],insumos[item],0)),
IFERROR(
INDEX(CaProdutos[ID],MATCH(Ingredientes[[#This Row],[item]],CaProdutos[Item],0)),
""
))</f>
        <v>3</v>
      </c>
      <c r="E9" t="s">
        <v>157</v>
      </c>
      <c r="F9" s="1">
        <v>340</v>
      </c>
      <c r="G9" s="1" t="str">
        <f>IFERROR(
INDEX(insumos[medida],MATCH(Ingredientes[[#This Row],[item]],insumos[item],0)),
IFERROR(
IF(MATCH(Ingredientes[[#This Row],[item]],CaProdutos[Item],0)&gt;0,"Unidades",""),
""
))</f>
        <v>Gramas</v>
      </c>
      <c r="H9" s="1">
        <f>IFERROR(INDEX(CaProdutos[Un. Por Lote], MATCH(Ingredientes[[#This Row],[Produto]], CaProdutos[Item], 0)), "")</f>
        <v>15</v>
      </c>
      <c r="I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1.5266</v>
      </c>
    </row>
    <row r="10" spans="3:9">
      <c r="C10" t="s">
        <v>211</v>
      </c>
      <c r="D10" s="1">
        <f>IFERROR(
INDEX(insumos[ID],MATCH(Ingredientes[[#This Row],[item]],insumos[item],0)),
IFERROR(
INDEX(CaProdutos[ID],MATCH(Ingredientes[[#This Row],[item]],CaProdutos[Item],0)),
""
))</f>
        <v>1</v>
      </c>
      <c r="E10" t="s">
        <v>155</v>
      </c>
      <c r="F10" s="1">
        <v>150</v>
      </c>
      <c r="G10" s="1" t="str">
        <f>IFERROR(
INDEX(insumos[medida],MATCH(Ingredientes[[#This Row],[item]],insumos[item],0)),
IFERROR(
IF(MATCH(Ingredientes[[#This Row],[item]],CaProdutos[Item],0)&gt;0,"Unidades",""),
""
))</f>
        <v>Gramas</v>
      </c>
      <c r="H10" s="1">
        <f>IFERROR(INDEX(CaProdutos[Un. Por Lote], MATCH(Ingredientes[[#This Row],[Produto]], CaProdutos[Item], 0)), "")</f>
        <v>15</v>
      </c>
      <c r="I1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0.56850000000000001</v>
      </c>
    </row>
    <row r="11" spans="3:9">
      <c r="C11" t="s">
        <v>211</v>
      </c>
      <c r="D11" s="1">
        <f>IFERROR(
INDEX(insumos[ID],MATCH(Ingredientes[[#This Row],[item]],insumos[item],0)),
IFERROR(
INDEX(CaProdutos[ID],MATCH(Ingredientes[[#This Row],[item]],CaProdutos[Item],0)),
""
))</f>
        <v>9</v>
      </c>
      <c r="E11" t="s">
        <v>163</v>
      </c>
      <c r="F11" s="1">
        <v>70</v>
      </c>
      <c r="G11" s="1" t="str">
        <f>IFERROR(
INDEX(insumos[medida],MATCH(Ingredientes[[#This Row],[item]],insumos[item],0)),
IFERROR(
IF(MATCH(Ingredientes[[#This Row],[item]],CaProdutos[Item],0)&gt;0,"Unidades",""),
""
))</f>
        <v>Gramas</v>
      </c>
      <c r="H11" s="1">
        <f>IFERROR(INDEX(CaProdutos[Un. Por Lote], MATCH(Ingredientes[[#This Row],[Produto]], CaProdutos[Item], 0)), "")</f>
        <v>15</v>
      </c>
      <c r="I1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0.83230000000000004</v>
      </c>
    </row>
    <row r="12" spans="3:9">
      <c r="C12" t="s">
        <v>211</v>
      </c>
      <c r="D12" s="1">
        <f>IFERROR(
INDEX(insumos[ID],MATCH(Ingredientes[[#This Row],[item]],insumos[item],0)),
IFERROR(
INDEX(CaProdutos[ID],MATCH(Ingredientes[[#This Row],[item]],CaProdutos[Item],0)),
""
))</f>
        <v>19</v>
      </c>
      <c r="E12" t="s">
        <v>173</v>
      </c>
      <c r="F12" s="1">
        <v>50</v>
      </c>
      <c r="G12" s="1" t="str">
        <f>IFERROR(
INDEX(insumos[medida],MATCH(Ingredientes[[#This Row],[item]],insumos[item],0)),
IFERROR(
IF(MATCH(Ingredientes[[#This Row],[item]],CaProdutos[Item],0)&gt;0,"Unidades",""),
""
))</f>
        <v>ML</v>
      </c>
      <c r="H12" s="1">
        <f>IFERROR(INDEX(CaProdutos[Un. Por Lote], MATCH(Ingredientes[[#This Row],[Produto]], CaProdutos[Item], 0)), "")</f>
        <v>15</v>
      </c>
      <c r="I1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0.17266666666666666</v>
      </c>
    </row>
    <row r="13" spans="3:9">
      <c r="C13" t="s">
        <v>213</v>
      </c>
      <c r="D13" s="1">
        <f>IFERROR(
INDEX(insumos[ID],MATCH(Ingredientes[[#This Row],[item]],insumos[item],0)),
IFERROR(
INDEX(CaProdutos[ID],MATCH(Ingredientes[[#This Row],[item]],CaProdutos[Item],0)),
""
))</f>
        <v>7</v>
      </c>
      <c r="E13" t="s">
        <v>161</v>
      </c>
      <c r="F13" s="1">
        <v>1000</v>
      </c>
      <c r="G13" s="1" t="str">
        <f>IFERROR(
INDEX(insumos[medida],MATCH(Ingredientes[[#This Row],[item]],insumos[item],0)),
IFERROR(
IF(MATCH(Ingredientes[[#This Row],[item]],CaProdutos[Item],0)&gt;0,"Unidades",""),
""
))</f>
        <v>Gramas</v>
      </c>
      <c r="H13" s="1">
        <f>IFERROR(INDEX(CaProdutos[Un. Por Lote], MATCH(Ingredientes[[#This Row],[Produto]], CaProdutos[Item], 0)), "")</f>
        <v>8</v>
      </c>
      <c r="I1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10.99</v>
      </c>
    </row>
    <row r="14" spans="3:9">
      <c r="C14" t="s">
        <v>212</v>
      </c>
      <c r="D14" s="1">
        <f>IFERROR(
INDEX(insumos[ID],MATCH(Ingredientes[[#This Row],[item]],insumos[item],0)),
IFERROR(
INDEX(CaProdutos[ID],MATCH(Ingredientes[[#This Row],[item]],CaProdutos[Item],0)),
""
))</f>
        <v>45</v>
      </c>
      <c r="E14" t="s">
        <v>214</v>
      </c>
      <c r="F14" s="1">
        <v>10</v>
      </c>
      <c r="G14" s="1" t="str">
        <f>IFERROR(
INDEX(insumos[medida],MATCH(Ingredientes[[#This Row],[item]],insumos[item],0)),
IFERROR(
IF(MATCH(Ingredientes[[#This Row],[item]],CaProdutos[Item],0)&gt;0,"Unidades",""),
""
))</f>
        <v>Gramas</v>
      </c>
      <c r="H14" s="1">
        <f>IFERROR(INDEX(CaProdutos[Un. Por Lote], MATCH(Ingredientes[[#This Row],[Produto]], CaProdutos[Item], 0)), "")</f>
        <v>9</v>
      </c>
      <c r="I1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</v>
      </c>
    </row>
    <row r="15" spans="3:9">
      <c r="C15" t="s">
        <v>212</v>
      </c>
      <c r="D15" s="1">
        <f>IFERROR(
INDEX(insumos[ID],MATCH(Ingredientes[[#This Row],[item]],insumos[item],0)),
IFERROR(
INDEX(CaProdutos[ID],MATCH(Ingredientes[[#This Row],[item]],CaProdutos[Item],0)),
""
))</f>
        <v>1</v>
      </c>
      <c r="E15" t="s">
        <v>155</v>
      </c>
      <c r="F15" s="1">
        <v>75</v>
      </c>
      <c r="G15" s="1" t="str">
        <f>IFERROR(
INDEX(insumos[medida],MATCH(Ingredientes[[#This Row],[item]],insumos[item],0)),
IFERROR(
IF(MATCH(Ingredientes[[#This Row],[item]],CaProdutos[Item],0)&gt;0,"Unidades",""),
""
))</f>
        <v>Gramas</v>
      </c>
      <c r="H15" s="1">
        <f>IFERROR(INDEX(CaProdutos[Un. Por Lote], MATCH(Ingredientes[[#This Row],[Produto]], CaProdutos[Item], 0)), "")</f>
        <v>9</v>
      </c>
      <c r="I1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0.28425</v>
      </c>
    </row>
    <row r="16" spans="3:9">
      <c r="C16" t="s">
        <v>212</v>
      </c>
      <c r="D16" s="1">
        <f>IFERROR(
INDEX(insumos[ID],MATCH(Ingredientes[[#This Row],[item]],insumos[item],0)),
IFERROR(
INDEX(CaProdutos[ID],MATCH(Ingredientes[[#This Row],[item]],CaProdutos[Item],0)),
""
))</f>
        <v>46</v>
      </c>
      <c r="E16" t="s">
        <v>215</v>
      </c>
      <c r="F16" s="1">
        <v>60</v>
      </c>
      <c r="G16" s="1" t="str">
        <f>IFERROR(
INDEX(insumos[medida],MATCH(Ingredientes[[#This Row],[item]],insumos[item],0)),
IFERROR(
IF(MATCH(Ingredientes[[#This Row],[item]],CaProdutos[Item],0)&gt;0,"Unidades",""),
""
))</f>
        <v>ML</v>
      </c>
      <c r="H16" s="1">
        <f>IFERROR(INDEX(CaProdutos[Un. Por Lote], MATCH(Ingredientes[[#This Row],[Produto]], CaProdutos[Item], 0)), "")</f>
        <v>9</v>
      </c>
      <c r="I1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0.36</v>
      </c>
    </row>
    <row r="17" spans="3:9">
      <c r="C17" t="s">
        <v>212</v>
      </c>
      <c r="D17" s="1">
        <f>IFERROR(
INDEX(insumos[ID],MATCH(Ingredientes[[#This Row],[item]],insumos[item],0)),
IFERROR(
INDEX(CaProdutos[ID],MATCH(Ingredientes[[#This Row],[item]],CaProdutos[Item],0)),
""
))</f>
        <v>44</v>
      </c>
      <c r="E17" t="s">
        <v>210</v>
      </c>
      <c r="F17" s="1">
        <v>480</v>
      </c>
      <c r="G17" s="1" t="str">
        <f>IFERROR(
INDEX(insumos[medida],MATCH(Ingredientes[[#This Row],[item]],insumos[item],0)),
IFERROR(
IF(MATCH(Ingredientes[[#This Row],[item]],CaProdutos[Item],0)&gt;0,"Unidades",""),
""
))</f>
        <v>Gramas</v>
      </c>
      <c r="H17" s="1">
        <f>IFERROR(INDEX(CaProdutos[Un. Por Lote], MATCH(Ingredientes[[#This Row],[Produto]], CaProdutos[Item], 0)), "")</f>
        <v>9</v>
      </c>
      <c r="I1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1.8240000000000001</v>
      </c>
    </row>
    <row r="18" spans="3:9">
      <c r="C18" t="s">
        <v>216</v>
      </c>
      <c r="D18" s="50">
        <f>IFERROR(
INDEX(insumos[ID],MATCH(Ingredientes[[#This Row],[item]],insumos[item],0)),
IFERROR(
INDEX(CaProdutos[ID],MATCH(Ingredientes[[#This Row],[item]],CaProdutos[Item],0)),
""
))</f>
        <v>27</v>
      </c>
      <c r="E18" t="s">
        <v>180</v>
      </c>
      <c r="F18" s="1">
        <v>80</v>
      </c>
      <c r="G18" s="50" t="str">
        <f>IFERROR(
INDEX(insumos[medida],MATCH(Ingredientes[[#This Row],[item]],insumos[item],0)),
IFERROR(
IF(MATCH(Ingredientes[[#This Row],[item]],CaProdutos[Item],0)&gt;0,"Unidades",""),
""
))</f>
        <v>Gramas</v>
      </c>
      <c r="H18" s="50">
        <f>IFERROR(INDEX(CaProdutos[Un. Por Lote], MATCH(Ingredientes[[#This Row],[Produto]], CaProdutos[Item], 0)), "")</f>
        <v>1</v>
      </c>
      <c r="I1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19" spans="3:9">
      <c r="C19" t="s">
        <v>199</v>
      </c>
      <c r="D19" s="1">
        <f>IFERROR(
INDEX(insumos[ID],MATCH(Ingredientes[[#This Row],[item]],insumos[item],0)),
IFERROR(
INDEX(CaProdutos[ID],MATCH(Ingredientes[[#This Row],[item]],CaProdutos[Item],0)),
""
))</f>
        <v>21</v>
      </c>
      <c r="E19" t="s">
        <v>213</v>
      </c>
      <c r="F19" s="1">
        <v>1</v>
      </c>
      <c r="G19" s="1" t="str">
        <f>IFERROR(
INDEX(insumos[medida],MATCH(Ingredientes[[#This Row],[item]],insumos[item],0)),
IFERROR(
IF(MATCH(Ingredientes[[#This Row],[item]],CaProdutos[Item],0)&gt;0,"Unidades",""),
""
))</f>
        <v>Unidades</v>
      </c>
      <c r="H19" s="1">
        <f>IFERROR(INDEX(CaProdutos[Un. Por Lote], MATCH(Ingredientes[[#This Row],[Produto]], CaProdutos[Item], 0)), "")</f>
        <v>1</v>
      </c>
      <c r="I1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0" spans="3:9">
      <c r="C20" t="s">
        <v>199</v>
      </c>
      <c r="D20" s="1">
        <f>IFERROR(
INDEX(insumos[ID],MATCH(Ingredientes[[#This Row],[item]],insumos[item],0)),
IFERROR(
INDEX(CaProdutos[ID],MATCH(Ingredientes[[#This Row],[item]],CaProdutos[Item],0)),
""
))</f>
        <v>20</v>
      </c>
      <c r="E20" t="s">
        <v>212</v>
      </c>
      <c r="F20" s="1">
        <v>1</v>
      </c>
      <c r="G20" s="1" t="str">
        <f>IFERROR(
INDEX(insumos[medida],MATCH(Ingredientes[[#This Row],[item]],insumos[item],0)),
IFERROR(
IF(MATCH(Ingredientes[[#This Row],[item]],CaProdutos[Item],0)&gt;0,"Unidades",""),
""
))</f>
        <v>Unidades</v>
      </c>
      <c r="H20" s="1">
        <f>IFERROR(INDEX(CaProdutos[Un. Por Lote], MATCH(Ingredientes[[#This Row],[Produto]], CaProdutos[Item], 0)), "")</f>
        <v>1</v>
      </c>
      <c r="I2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1" spans="3:9">
      <c r="C21" t="s">
        <v>199</v>
      </c>
      <c r="D21" s="1">
        <f>IFERROR(
INDEX(insumos[ID],MATCH(Ingredientes[[#This Row],[item]],insumos[item],0)),
IFERROR(
INDEX(CaProdutos[ID],MATCH(Ingredientes[[#This Row],[item]],CaProdutos[Item],0)),
""
))</f>
        <v>19</v>
      </c>
      <c r="E21" t="s">
        <v>211</v>
      </c>
      <c r="F21" s="1">
        <v>1</v>
      </c>
      <c r="G21" s="1" t="str">
        <f>IFERROR(
INDEX(insumos[medida],MATCH(Ingredientes[[#This Row],[item]],insumos[item],0)),
IFERROR(
IF(MATCH(Ingredientes[[#This Row],[item]],CaProdutos[Item],0)&gt;0,"Unidades",""),
""
))</f>
        <v>Unidades</v>
      </c>
      <c r="H21" s="1">
        <f>IFERROR(INDEX(CaProdutos[Un. Por Lote], MATCH(Ingredientes[[#This Row],[Produto]], CaProdutos[Item], 0)), "")</f>
        <v>1</v>
      </c>
      <c r="I2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22" spans="3:9">
      <c r="C22" t="s">
        <v>199</v>
      </c>
      <c r="D22" s="1">
        <f>IFERROR(
INDEX(insumos[ID],MATCH(Ingredientes[[#This Row],[item]],insumos[item],0)),
IFERROR(
INDEX(CaProdutos[ID],MATCH(Ingredientes[[#This Row],[item]],CaProdutos[Item],0)),
""
))</f>
        <v>22</v>
      </c>
      <c r="E22" t="s">
        <v>216</v>
      </c>
      <c r="F22" s="1">
        <v>1</v>
      </c>
      <c r="G22" s="1" t="str">
        <f>IFERROR(
INDEX(insumos[medida],MATCH(Ingredientes[[#This Row],[item]],insumos[item],0)),
IFERROR(
IF(MATCH(Ingredientes[[#This Row],[item]],CaProdutos[Item],0)&gt;0,"Unidades",""),
""
))</f>
        <v>Unidades</v>
      </c>
      <c r="H22" s="1">
        <f>IFERROR(INDEX(CaProdutos[Un. Por Lote], MATCH(Ingredientes[[#This Row],[Produto]], CaProdutos[Item], 0)), "")</f>
        <v>1</v>
      </c>
      <c r="I2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3" spans="3:9">
      <c r="C23" t="s">
        <v>199</v>
      </c>
      <c r="D23" s="1">
        <f>IFERROR(
INDEX(insumos[ID],MATCH(Ingredientes[[#This Row],[item]],insumos[item],0)),
IFERROR(
INDEX(CaProdutos[ID],MATCH(Ingredientes[[#This Row],[item]],CaProdutos[Item],0)),
""
))</f>
        <v>18</v>
      </c>
      <c r="E23" t="s">
        <v>222</v>
      </c>
      <c r="F23" s="1">
        <v>1</v>
      </c>
      <c r="G23" s="1" t="str">
        <f>IFERROR(
INDEX(insumos[medida],MATCH(Ingredientes[[#This Row],[item]],insumos[item],0)),
IFERROR(
IF(MATCH(Ingredientes[[#This Row],[item]],CaProdutos[Item],0)&gt;0,"Unidades",""),
""
))</f>
        <v>Unidades</v>
      </c>
      <c r="H23" s="1">
        <f>IFERROR(INDEX(CaProdutos[Un. Por Lote], MATCH(Ingredientes[[#This Row],[Produto]], CaProdutos[Item], 0)), "")</f>
        <v>1</v>
      </c>
      <c r="I2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4" spans="3:9">
      <c r="C24" t="s">
        <v>209</v>
      </c>
      <c r="D24" s="1">
        <f>IFERROR(
INDEX(insumos[ID],MATCH(Ingredientes[[#This Row],[item]],insumos[item],0)),
IFERROR(
INDEX(CaProdutos[ID],MATCH(Ingredientes[[#This Row],[item]],CaProdutos[Item],0)),
""
))</f>
        <v>21</v>
      </c>
      <c r="E24" t="s">
        <v>213</v>
      </c>
      <c r="F24" s="1">
        <v>1</v>
      </c>
      <c r="G24" s="1" t="str">
        <f>IFERROR(
INDEX(insumos[medida],MATCH(Ingredientes[[#This Row],[item]],insumos[item],0)),
IFERROR(
IF(MATCH(Ingredientes[[#This Row],[item]],CaProdutos[Item],0)&gt;0,"Unidades",""),
""
))</f>
        <v>Unidades</v>
      </c>
      <c r="H24" s="1">
        <f>IFERROR(INDEX(CaProdutos[Un. Por Lote], MATCH(Ingredientes[[#This Row],[Produto]], CaProdutos[Item], 0)), "")</f>
        <v>1</v>
      </c>
      <c r="I2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5" spans="3:9">
      <c r="C25" t="s">
        <v>209</v>
      </c>
      <c r="D25" s="1">
        <f>IFERROR(
INDEX(insumos[ID],MATCH(Ingredientes[[#This Row],[item]],insumos[item],0)),
IFERROR(
INDEX(CaProdutos[ID],MATCH(Ingredientes[[#This Row],[item]],CaProdutos[Item],0)),
""
))</f>
        <v>41</v>
      </c>
      <c r="E25" t="s">
        <v>194</v>
      </c>
      <c r="F25" s="1">
        <v>1</v>
      </c>
      <c r="G25" s="1" t="str">
        <f>IFERROR(
INDEX(insumos[medida],MATCH(Ingredientes[[#This Row],[item]],insumos[item],0)),
IFERROR(
IF(MATCH(Ingredientes[[#This Row],[item]],CaProdutos[Item],0)&gt;0,"Unidades",""),
""
))</f>
        <v>Unidades</v>
      </c>
      <c r="H25" s="1">
        <f>IFERROR(INDEX(CaProdutos[Un. Por Lote], MATCH(Ingredientes[[#This Row],[Produto]], CaProdutos[Item], 0)), "")</f>
        <v>1</v>
      </c>
      <c r="I2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6" spans="3:9">
      <c r="C26" t="s">
        <v>209</v>
      </c>
      <c r="D26" s="50">
        <f>IFERROR(
INDEX(insumos[ID],MATCH(Ingredientes[[#This Row],[item]],insumos[item],0)),
IFERROR(
INDEX(CaProdutos[ID],MATCH(Ingredientes[[#This Row],[item]],CaProdutos[Item],0)),
""
))</f>
        <v>20</v>
      </c>
      <c r="E26" t="s">
        <v>212</v>
      </c>
      <c r="F26" s="1">
        <v>1</v>
      </c>
      <c r="G26" s="50" t="str">
        <f>IFERROR(
INDEX(insumos[medida],MATCH(Ingredientes[[#This Row],[item]],insumos[item],0)),
IFERROR(
IF(MATCH(Ingredientes[[#This Row],[item]],CaProdutos[Item],0)&gt;0,"Unidades",""),
""
))</f>
        <v>Unidades</v>
      </c>
      <c r="H26" s="50">
        <f>IFERROR(INDEX(CaProdutos[Un. Por Lote], MATCH(Ingredientes[[#This Row],[Produto]], CaProdutos[Item], 0)), "")</f>
        <v>1</v>
      </c>
      <c r="I2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7" spans="3:9">
      <c r="C27" t="s">
        <v>209</v>
      </c>
      <c r="D27" s="50">
        <f>IFERROR(
INDEX(insumos[ID],MATCH(Ingredientes[[#This Row],[item]],insumos[item],0)),
IFERROR(
INDEX(CaProdutos[ID],MATCH(Ingredientes[[#This Row],[item]],CaProdutos[Item],0)),
""
))</f>
        <v>22</v>
      </c>
      <c r="E27" t="s">
        <v>216</v>
      </c>
      <c r="F27" s="1">
        <v>1</v>
      </c>
      <c r="G27" s="50" t="str">
        <f>IFERROR(
INDEX(insumos[medida],MATCH(Ingredientes[[#This Row],[item]],insumos[item],0)),
IFERROR(
IF(MATCH(Ingredientes[[#This Row],[item]],CaProdutos[Item],0)&gt;0,"Unidades",""),
""
))</f>
        <v>Unidades</v>
      </c>
      <c r="H27" s="50">
        <f>IFERROR(INDEX(CaProdutos[Un. Por Lote], MATCH(Ingredientes[[#This Row],[Produto]], CaProdutos[Item], 0)), "")</f>
        <v>1</v>
      </c>
      <c r="I2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8" spans="3:9">
      <c r="C28" t="s">
        <v>220</v>
      </c>
      <c r="D28" s="1">
        <f>IFERROR(
INDEX(insumos[ID],MATCH(Ingredientes[[#This Row],[item]],insumos[item],0)),
IFERROR(
INDEX(CaProdutos[ID],MATCH(Ingredientes[[#This Row],[item]],CaProdutos[Item],0)),
""
))</f>
        <v>114</v>
      </c>
      <c r="E28" t="s">
        <v>236</v>
      </c>
      <c r="F28" s="1">
        <v>1</v>
      </c>
      <c r="G28" s="1" t="str">
        <f>IFERROR(
INDEX(insumos[medida],MATCH(Ingredientes[[#This Row],[item]],insumos[item],0)),
IFERROR(
IF(MATCH(Ingredientes[[#This Row],[item]],CaProdutos[Item],0)&gt;0,"Unidades",""),
""
))</f>
        <v>Unidades</v>
      </c>
      <c r="H28" s="1">
        <f>IFERROR(INDEX(CaProdutos[Un. Por Lote], MATCH(Ingredientes[[#This Row],[Produto]], CaProdutos[Item], 0)), "")</f>
        <v>1</v>
      </c>
      <c r="I2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5.5</v>
      </c>
    </row>
    <row r="29" spans="3:9">
      <c r="C29" t="s">
        <v>221</v>
      </c>
      <c r="D29" s="1">
        <f>IFERROR(
INDEX(insumos[ID],MATCH(Ingredientes[[#This Row],[item]],insumos[item],0)),
IFERROR(
INDEX(CaProdutos[ID],MATCH(Ingredientes[[#This Row],[item]],CaProdutos[Item],0)),
""
))</f>
        <v>116</v>
      </c>
      <c r="E29" t="s">
        <v>238</v>
      </c>
      <c r="F29" s="1">
        <v>1</v>
      </c>
      <c r="G29" s="1" t="str">
        <f>IFERROR(
INDEX(insumos[medida],MATCH(Ingredientes[[#This Row],[item]],insumos[item],0)),
IFERROR(
IF(MATCH(Ingredientes[[#This Row],[item]],CaProdutos[Item],0)&gt;0,"Unidades",""),
""
))</f>
        <v>Unidades</v>
      </c>
      <c r="H29" s="1">
        <f>IFERROR(INDEX(CaProdutos[Un. Por Lote], MATCH(Ingredientes[[#This Row],[Produto]], CaProdutos[Item], 0)), "")</f>
        <v>1</v>
      </c>
      <c r="I2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12</v>
      </c>
    </row>
    <row r="30" spans="3:9">
      <c r="C30" t="s">
        <v>201</v>
      </c>
      <c r="D30" s="1">
        <f>IFERROR(
INDEX(insumos[ID],MATCH(Ingredientes[[#This Row],[item]],insumos[item],0)),
IFERROR(
INDEX(CaProdutos[ID],MATCH(Ingredientes[[#This Row],[item]],CaProdutos[Item],0)),
""
))</f>
        <v>47</v>
      </c>
      <c r="E30" t="s">
        <v>223</v>
      </c>
      <c r="F30" s="1">
        <v>200</v>
      </c>
      <c r="G30" s="1" t="str">
        <f>IFERROR(
INDEX(insumos[medida],MATCH(Ingredientes[[#This Row],[item]],insumos[item],0)),
IFERROR(
IF(MATCH(Ingredientes[[#This Row],[item]],CaProdutos[Item],0)&gt;0,"Unidades",""),
""
))</f>
        <v>Gramas</v>
      </c>
      <c r="H30" s="1">
        <f>IFERROR(INDEX(CaProdutos[Un. Por Lote], MATCH(Ingredientes[[#This Row],[Produto]], CaProdutos[Item], 0)), "")</f>
        <v>4</v>
      </c>
      <c r="I3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2.7960000000000003</v>
      </c>
    </row>
    <row r="31" spans="3:9">
      <c r="C31" t="s">
        <v>201</v>
      </c>
      <c r="D31" s="1">
        <f>IFERROR(
INDEX(insumos[ID],MATCH(Ingredientes[[#This Row],[item]],insumos[item],0)),
IFERROR(
INDEX(CaProdutos[ID],MATCH(Ingredientes[[#This Row],[item]],CaProdutos[Item],0)),
""
))</f>
        <v>22</v>
      </c>
      <c r="E31" t="s">
        <v>80</v>
      </c>
      <c r="F31" s="1">
        <v>100</v>
      </c>
      <c r="G31" s="1" t="str">
        <f>IFERROR(
INDEX(insumos[medida],MATCH(Ingredientes[[#This Row],[item]],insumos[item],0)),
IFERROR(
IF(MATCH(Ingredientes[[#This Row],[item]],CaProdutos[Item],0)&gt;0,"Unidades",""),
""
))</f>
        <v>Gramas</v>
      </c>
      <c r="H31" s="1">
        <f>IFERROR(INDEX(CaProdutos[Un. Por Lote], MATCH(Ingredientes[[#This Row],[Produto]], CaProdutos[Item], 0)), "")</f>
        <v>4</v>
      </c>
      <c r="I3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1.7950000000000002</v>
      </c>
    </row>
    <row r="32" spans="3:9">
      <c r="C32" t="s">
        <v>202</v>
      </c>
      <c r="D32" s="1">
        <f>IFERROR(
INDEX(insumos[ID],MATCH(Ingredientes[[#This Row],[item]],insumos[item],0)),
IFERROR(
INDEX(CaProdutos[ID],MATCH(Ingredientes[[#This Row],[item]],CaProdutos[Item],0)),
""
))</f>
        <v>48</v>
      </c>
      <c r="E32" t="s">
        <v>224</v>
      </c>
      <c r="F32" s="1">
        <v>50</v>
      </c>
      <c r="G32" s="1" t="str">
        <f>IFERROR(
INDEX(insumos[medida],MATCH(Ingredientes[[#This Row],[item]],insumos[item],0)),
IFERROR(
IF(MATCH(Ingredientes[[#This Row],[item]],CaProdutos[Item],0)&gt;0,"Unidades",""),
""
))</f>
        <v>Gramas</v>
      </c>
      <c r="H32" s="1">
        <f>IFERROR(INDEX(CaProdutos[Un. Por Lote], MATCH(Ingredientes[[#This Row],[Produto]], CaProdutos[Item], 0)), "")</f>
        <v>1</v>
      </c>
      <c r="I3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3.3333333333333335</v>
      </c>
    </row>
    <row r="33" spans="3:9">
      <c r="C33" t="s">
        <v>200</v>
      </c>
      <c r="D33" s="1">
        <f>IFERROR(
INDEX(insumos[ID],MATCH(Ingredientes[[#This Row],[item]],insumos[item],0)),
IFERROR(
INDEX(CaProdutos[ID],MATCH(Ingredientes[[#This Row],[item]],CaProdutos[Item],0)),
""
))</f>
        <v>21</v>
      </c>
      <c r="E33" t="s">
        <v>175</v>
      </c>
      <c r="F33" s="1">
        <v>10</v>
      </c>
      <c r="G33" s="1" t="str">
        <f>IFERROR(
INDEX(insumos[medida],MATCH(Ingredientes[[#This Row],[item]],insumos[item],0)),
IFERROR(
IF(MATCH(Ingredientes[[#This Row],[item]],CaProdutos[Item],0)&gt;0,"Unidades",""),
""
))</f>
        <v>Gramas</v>
      </c>
      <c r="H33" s="1">
        <f>IFERROR(INDEX(CaProdutos[Un. Por Lote], MATCH(Ingredientes[[#This Row],[Produto]], CaProdutos[Item], 0)), "")</f>
        <v>1</v>
      </c>
      <c r="I3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34" spans="3:9">
      <c r="C34" t="s">
        <v>204</v>
      </c>
      <c r="D34" s="1">
        <f>IFERROR(
INDEX(insumos[ID],MATCH(Ingredientes[[#This Row],[item]],insumos[item],0)),
IFERROR(
INDEX(CaProdutos[ID],MATCH(Ingredientes[[#This Row],[item]],CaProdutos[Item],0)),
""
))</f>
        <v>49</v>
      </c>
      <c r="E34" t="s">
        <v>225</v>
      </c>
      <c r="F34" s="1">
        <v>50</v>
      </c>
      <c r="G34" s="1" t="str">
        <f>IFERROR(
INDEX(insumos[medida],MATCH(Ingredientes[[#This Row],[item]],insumos[item],0)),
IFERROR(
IF(MATCH(Ingredientes[[#This Row],[item]],CaProdutos[Item],0)&gt;0,"Unidades",""),
""
))</f>
        <v>Gramas</v>
      </c>
      <c r="H34" s="1">
        <f>IFERROR(INDEX(CaProdutos[Un. Por Lote], MATCH(Ingredientes[[#This Row],[Produto]], CaProdutos[Item], 0)), "")</f>
        <v>1</v>
      </c>
      <c r="I3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2.4950000000000001</v>
      </c>
    </row>
    <row r="35" spans="3:9">
      <c r="C35" t="s">
        <v>203</v>
      </c>
      <c r="D35" s="1">
        <f>IFERROR(
INDEX(insumos[ID],MATCH(Ingredientes[[#This Row],[item]],insumos[item],0)),
IFERROR(
INDEX(CaProdutos[ID],MATCH(Ingredientes[[#This Row],[item]],CaProdutos[Item],0)),
""
))</f>
        <v>26</v>
      </c>
      <c r="E35" t="s">
        <v>179</v>
      </c>
      <c r="F35" s="1">
        <v>50</v>
      </c>
      <c r="G35" s="1" t="str">
        <f>IFERROR(
INDEX(insumos[medida],MATCH(Ingredientes[[#This Row],[item]],insumos[item],0)),
IFERROR(
IF(MATCH(Ingredientes[[#This Row],[item]],CaProdutos[Item],0)&gt;0,"Unidades",""),
""
))</f>
        <v>Gramas</v>
      </c>
      <c r="H35" s="1">
        <f>IFERROR(INDEX(CaProdutos[Un. Por Lote], MATCH(Ingredientes[[#This Row],[Produto]], CaProdutos[Item], 0)), "")</f>
        <v>1</v>
      </c>
      <c r="I3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7.7750000000000004</v>
      </c>
    </row>
    <row r="36" spans="3:9">
      <c r="C36" t="s">
        <v>228</v>
      </c>
      <c r="D36" s="50">
        <f>IFERROR(
INDEX(insumos[ID],MATCH(Ingredientes[[#This Row],[item]],insumos[item],0)),
IFERROR(
INDEX(CaProdutos[ID],MATCH(Ingredientes[[#This Row],[item]],CaProdutos[Item],0)),
""
))</f>
        <v>51</v>
      </c>
      <c r="E36" t="s">
        <v>229</v>
      </c>
      <c r="F36" s="1">
        <v>30</v>
      </c>
      <c r="G36" s="50" t="str">
        <f>IFERROR(
INDEX(insumos[medida],MATCH(Ingredientes[[#This Row],[item]],insumos[item],0)),
IFERROR(
IF(MATCH(Ingredientes[[#This Row],[item]],CaProdutos[Item],0)&gt;0,"Unidades",""),
""
))</f>
        <v>Gramas</v>
      </c>
      <c r="H36" s="50">
        <f>IFERROR(INDEX(CaProdutos[Un. Por Lote], MATCH(Ingredientes[[#This Row],[Produto]], CaProdutos[Item], 0)), "")</f>
        <v>1</v>
      </c>
      <c r="I3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37" spans="3:9">
      <c r="C37" t="s">
        <v>205</v>
      </c>
      <c r="D37" s="50">
        <f>IFERROR(
INDEX(insumos[ID],MATCH(Ingredientes[[#This Row],[item]],insumos[item],0)),
IFERROR(
INDEX(CaProdutos[ID],MATCH(Ingredientes[[#This Row],[item]],CaProdutos[Item],0)),
""
))</f>
        <v>18</v>
      </c>
      <c r="E37" t="s">
        <v>172</v>
      </c>
      <c r="F37" s="1">
        <v>30</v>
      </c>
      <c r="G37" s="50" t="str">
        <f>IFERROR(
INDEX(insumos[medida],MATCH(Ingredientes[[#This Row],[item]],insumos[item],0)),
IFERROR(
IF(MATCH(Ingredientes[[#This Row],[item]],CaProdutos[Item],0)&gt;0,"Unidades",""),
""
))</f>
        <v>Gramas</v>
      </c>
      <c r="H37" s="50">
        <f>IFERROR(INDEX(CaProdutos[Un. Por Lote], MATCH(Ingredientes[[#This Row],[Produto]], CaProdutos[Item], 0)), "")</f>
        <v>1</v>
      </c>
      <c r="I3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38" spans="3:9">
      <c r="C38" t="s">
        <v>196</v>
      </c>
      <c r="D38" s="1">
        <f>IFERROR(
INDEX(insumos[ID],MATCH(Ingredientes[[#This Row],[item]],insumos[item],0)),
IFERROR(
INDEX(CaProdutos[ID],MATCH(Ingredientes[[#This Row],[item]],CaProdutos[Item],0)),
""
))</f>
        <v>20</v>
      </c>
      <c r="E38" t="s">
        <v>174</v>
      </c>
      <c r="F38" s="1">
        <v>20</v>
      </c>
      <c r="G38" s="1" t="str">
        <f>IFERROR(
INDEX(insumos[medida],MATCH(Ingredientes[[#This Row],[item]],insumos[item],0)),
IFERROR(
IF(MATCH(Ingredientes[[#This Row],[item]],CaProdutos[Item],0)&gt;0,"Unidades",""),
""
))</f>
        <v>Gramas</v>
      </c>
      <c r="H38" s="1">
        <f>IFERROR(INDEX(CaProdutos[Un. Por Lote], MATCH(Ingredientes[[#This Row],[Produto]], CaProdutos[Item], 0)), "")</f>
        <v>1</v>
      </c>
      <c r="I3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0.25722772277227723</v>
      </c>
    </row>
    <row r="39" spans="3:9">
      <c r="C39" t="s">
        <v>196</v>
      </c>
      <c r="D39" s="1">
        <f>IFERROR(
INDEX(insumos[ID],MATCH(Ingredientes[[#This Row],[item]],insumos[item],0)),
IFERROR(
INDEX(CaProdutos[ID],MATCH(Ingredientes[[#This Row],[item]],CaProdutos[Item],0)),
""
))</f>
        <v>18</v>
      </c>
      <c r="E39" t="s">
        <v>222</v>
      </c>
      <c r="F39" s="1">
        <v>1</v>
      </c>
      <c r="G39" s="1" t="str">
        <f>IFERROR(
INDEX(insumos[medida],MATCH(Ingredientes[[#This Row],[item]],insumos[item],0)),
IFERROR(
IF(MATCH(Ingredientes[[#This Row],[item]],CaProdutos[Item],0)&gt;0,"Unidades",""),
""
))</f>
        <v>Unidades</v>
      </c>
      <c r="H39" s="1">
        <f>IFERROR(INDEX(CaProdutos[Un. Por Lote], MATCH(Ingredientes[[#This Row],[Produto]], CaProdutos[Item], 0)), "")</f>
        <v>1</v>
      </c>
      <c r="I3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40" spans="3:9">
      <c r="C40" t="s">
        <v>196</v>
      </c>
      <c r="D40" s="1">
        <f>IFERROR(
INDEX(insumos[ID],MATCH(Ingredientes[[#This Row],[item]],insumos[item],0)),
IFERROR(
INDEX(CaProdutos[ID],MATCH(Ingredientes[[#This Row],[item]],CaProdutos[Item],0)),
""
))</f>
        <v>19</v>
      </c>
      <c r="E40" t="s">
        <v>211</v>
      </c>
      <c r="F40" s="1">
        <v>1</v>
      </c>
      <c r="G40" s="1" t="str">
        <f>IFERROR(
INDEX(insumos[medida],MATCH(Ingredientes[[#This Row],[item]],insumos[item],0)),
IFERROR(
IF(MATCH(Ingredientes[[#This Row],[item]],CaProdutos[Item],0)&gt;0,"Unidades",""),
""
))</f>
        <v>Unidades</v>
      </c>
      <c r="H40" s="1">
        <f>IFERROR(INDEX(CaProdutos[Un. Por Lote], MATCH(Ingredientes[[#This Row],[Produto]], CaProdutos[Item], 0)), "")</f>
        <v>1</v>
      </c>
      <c r="I4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41" spans="3:9">
      <c r="C41" t="s">
        <v>198</v>
      </c>
      <c r="D41" s="50">
        <f>IFERROR(
INDEX(insumos[ID],MATCH(Ingredientes[[#This Row],[item]],insumos[item],0)),
IFERROR(
INDEX(CaProdutos[ID],MATCH(Ingredientes[[#This Row],[item]],CaProdutos[Item],0)),
""
))</f>
        <v>1</v>
      </c>
      <c r="E41" t="s">
        <v>196</v>
      </c>
      <c r="F41" s="1">
        <v>1</v>
      </c>
      <c r="G41" s="50" t="str">
        <f>IFERROR(
INDEX(insumos[medida],MATCH(Ingredientes[[#This Row],[item]],insumos[item],0)),
IFERROR(
IF(MATCH(Ingredientes[[#This Row],[item]],CaProdutos[Item],0)&gt;0,"Unidades",""),
""
))</f>
        <v>Unidades</v>
      </c>
      <c r="H41" s="50">
        <f>IFERROR(INDEX(CaProdutos[Un. Por Lote], MATCH(Ingredientes[[#This Row],[Produto]], CaProdutos[Item], 0)), "")</f>
        <v>1</v>
      </c>
      <c r="I4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4.8638988338833888</v>
      </c>
    </row>
    <row r="42" spans="3:9">
      <c r="C42" t="s">
        <v>198</v>
      </c>
      <c r="D42" s="1">
        <f>IFERROR(
INDEX(insumos[ID],MATCH(Ingredientes[[#This Row],[item]],insumos[item],0)),
IFERROR(
INDEX(CaProdutos[ID],MATCH(Ingredientes[[#This Row],[item]],CaProdutos[Item],0)),
""
))</f>
        <v>6</v>
      </c>
      <c r="E42" t="s">
        <v>160</v>
      </c>
      <c r="F42" s="1">
        <v>2</v>
      </c>
      <c r="G42" s="1" t="str">
        <f>IFERROR(
INDEX(insumos[medida],MATCH(Ingredientes[[#This Row],[item]],insumos[item],0)),
IFERROR(
IF(MATCH(Ingredientes[[#This Row],[item]],CaProdutos[Item],0)&gt;0,"Unidades",""),
""
))</f>
        <v>Unidades</v>
      </c>
      <c r="H42" s="1">
        <f>IFERROR(INDEX(CaProdutos[Un. Por Lote], MATCH(Ingredientes[[#This Row],[Produto]], CaProdutos[Item], 0)), "")</f>
        <v>1</v>
      </c>
      <c r="I4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0.39866666666666667</v>
      </c>
    </row>
    <row r="43" spans="3:9">
      <c r="C43" t="s">
        <v>198</v>
      </c>
      <c r="D43" s="1">
        <f>IFERROR(
INDEX(insumos[ID],MATCH(Ingredientes[[#This Row],[item]],insumos[item],0)),
IFERROR(
INDEX(CaProdutos[ID],MATCH(Ingredientes[[#This Row],[item]],CaProdutos[Item],0)),
""
))</f>
        <v>15</v>
      </c>
      <c r="E43" t="s">
        <v>205</v>
      </c>
      <c r="F43" s="1">
        <v>1</v>
      </c>
      <c r="G43" s="1" t="str">
        <f>IFERROR(
INDEX(insumos[medida],MATCH(Ingredientes[[#This Row],[item]],insumos[item],0)),
IFERROR(
IF(MATCH(Ingredientes[[#This Row],[item]],CaProdutos[Item],0)&gt;0,"Unidades",""),
""
))</f>
        <v>Unidades</v>
      </c>
      <c r="H43" s="1">
        <f>IFERROR(INDEX(CaProdutos[Un. Por Lote], MATCH(Ingredientes[[#This Row],[Produto]], CaProdutos[Item], 0)), "")</f>
        <v>1</v>
      </c>
      <c r="I4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44" spans="3:9">
      <c r="C44" t="s">
        <v>198</v>
      </c>
      <c r="D44" s="1">
        <f>IFERROR(
INDEX(insumos[ID],MATCH(Ingredientes[[#This Row],[item]],insumos[item],0)),
IFERROR(
INDEX(CaProdutos[ID],MATCH(Ingredientes[[#This Row],[item]],CaProdutos[Item],0)),
""
))</f>
        <v>31</v>
      </c>
      <c r="E44" t="s">
        <v>228</v>
      </c>
      <c r="F44" s="1">
        <v>1</v>
      </c>
      <c r="G44" s="1" t="str">
        <f>IFERROR(
INDEX(insumos[medida],MATCH(Ingredientes[[#This Row],[item]],insumos[item],0)),
IFERROR(
IF(MATCH(Ingredientes[[#This Row],[item]],CaProdutos[Item],0)&gt;0,"Unidades",""),
""
))</f>
        <v>Unidades</v>
      </c>
      <c r="H44" s="1">
        <f>IFERROR(INDEX(CaProdutos[Un. Por Lote], MATCH(Ingredientes[[#This Row],[Produto]], CaProdutos[Item], 0)), "")</f>
        <v>1</v>
      </c>
      <c r="I4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45" spans="3:9">
      <c r="C45" t="s">
        <v>198</v>
      </c>
      <c r="D45" s="1">
        <f>IFERROR(
INDEX(insumos[ID],MATCH(Ingredientes[[#This Row],[item]],insumos[item],0)),
IFERROR(
INDEX(CaProdutos[ID],MATCH(Ingredientes[[#This Row],[item]],CaProdutos[Item],0)),
""
))</f>
        <v>10</v>
      </c>
      <c r="E45" t="s">
        <v>200</v>
      </c>
      <c r="F45" s="1">
        <v>1</v>
      </c>
      <c r="G45" s="1" t="str">
        <f>IFERROR(
INDEX(insumos[medida],MATCH(Ingredientes[[#This Row],[item]],insumos[item],0)),
IFERROR(
IF(MATCH(Ingredientes[[#This Row],[item]],CaProdutos[Item],0)&gt;0,"Unidades",""),
""
))</f>
        <v>Unidades</v>
      </c>
      <c r="H45" s="1">
        <f>IFERROR(INDEX(CaProdutos[Un. Por Lote], MATCH(Ingredientes[[#This Row],[Produto]], CaProdutos[Item], 0)), "")</f>
        <v>1</v>
      </c>
      <c r="I4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46" spans="3:9">
      <c r="C46" t="s">
        <v>198</v>
      </c>
      <c r="D46" s="1">
        <f>IFERROR(
INDEX(insumos[ID],MATCH(Ingredientes[[#This Row],[item]],insumos[item],0)),
IFERROR(
INDEX(CaProdutos[ID],MATCH(Ingredientes[[#This Row],[item]],CaProdutos[Item],0)),
""
))</f>
        <v>11</v>
      </c>
      <c r="E46" t="s">
        <v>201</v>
      </c>
      <c r="F46" s="1">
        <v>1</v>
      </c>
      <c r="G46" s="1" t="str">
        <f>IFERROR(
INDEX(insumos[medida],MATCH(Ingredientes[[#This Row],[item]],insumos[item],0)),
IFERROR(
IF(MATCH(Ingredientes[[#This Row],[item]],CaProdutos[Item],0)&gt;0,"Unidades",""),
""
))</f>
        <v>Unidades</v>
      </c>
      <c r="H46" s="1">
        <f>IFERROR(INDEX(CaProdutos[Un. Por Lote], MATCH(Ingredientes[[#This Row],[Produto]], CaProdutos[Item], 0)), "")</f>
        <v>1</v>
      </c>
      <c r="I4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1.14775</v>
      </c>
    </row>
    <row r="47" spans="3:9">
      <c r="D47" s="1" t="str">
        <f>IFERROR(
INDEX(insumos[ID],MATCH(Ingredientes[[#This Row],[item]],insumos[item],0)),
IFERROR(
INDEX(CaProdutos[ID],MATCH(Ingredientes[[#This Row],[item]],CaProdutos[Item],0)),
""
))</f>
        <v/>
      </c>
      <c r="F47" s="1"/>
      <c r="G47" s="1" t="str">
        <f>IFERROR(
INDEX(insumos[medida],MATCH(Ingredientes[[#This Row],[item]],insumos[item],0)),
IFERROR(
IF(MATCH(Ingredientes[[#This Row],[item]],CaProdutos[Item],0)&gt;0,"Unidades",""),
""
))</f>
        <v/>
      </c>
      <c r="H47" s="1" t="str">
        <f>IFERROR(INDEX(CaProdutos[Un. Por Lote], MATCH(Ingredientes[[#This Row],[Produto]], CaProdutos[Item], 0)), "")</f>
        <v/>
      </c>
      <c r="I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8" spans="3:9">
      <c r="D48" s="1" t="str">
        <f>IFERROR(
INDEX(insumos[ID],MATCH(Ingredientes[[#This Row],[item]],insumos[item],0)),
IFERROR(
INDEX(CaProdutos[ID],MATCH(Ingredientes[[#This Row],[item]],CaProdutos[Item],0)),
""
))</f>
        <v/>
      </c>
      <c r="F48" s="1"/>
      <c r="G48" s="1" t="str">
        <f>IFERROR(
INDEX(insumos[medida],MATCH(Ingredientes[[#This Row],[item]],insumos[item],0)),
IFERROR(
IF(MATCH(Ingredientes[[#This Row],[item]],CaProdutos[Item],0)&gt;0,"Unidades",""),
""
))</f>
        <v/>
      </c>
      <c r="H48" s="1" t="str">
        <f>IFERROR(INDEX(CaProdutos[Un. Por Lote], MATCH(Ingredientes[[#This Row],[Produto]], CaProdutos[Item], 0)), "")</f>
        <v/>
      </c>
      <c r="I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9" spans="4:9">
      <c r="D49" s="1" t="str">
        <f>IFERROR(
INDEX(insumos[ID],MATCH(Ingredientes[[#This Row],[item]],insumos[item],0)),
IFERROR(
INDEX(CaProdutos[ID],MATCH(Ingredientes[[#This Row],[item]],CaProdutos[Item],0)),
""
))</f>
        <v/>
      </c>
      <c r="F49" s="1"/>
      <c r="G49" s="1" t="str">
        <f>IFERROR(
INDEX(insumos[medida],MATCH(Ingredientes[[#This Row],[item]],insumos[item],0)),
IFERROR(
IF(MATCH(Ingredientes[[#This Row],[item]],CaProdutos[Item],0)&gt;0,"Unidades",""),
""
))</f>
        <v/>
      </c>
      <c r="H49" s="1" t="str">
        <f>IFERROR(INDEX(CaProdutos[Un. Por Lote], MATCH(Ingredientes[[#This Row],[Produto]], CaProdutos[Item], 0)), "")</f>
        <v/>
      </c>
      <c r="I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0" spans="4:9">
      <c r="D50" s="1" t="str">
        <f>IFERROR(
INDEX(insumos[ID],MATCH(Ingredientes[[#This Row],[item]],insumos[item],0)),
IFERROR(
INDEX(CaProdutos[ID],MATCH(Ingredientes[[#This Row],[item]],CaProdutos[Item],0)),
""
))</f>
        <v/>
      </c>
      <c r="F50" s="1"/>
      <c r="G50" s="1" t="str">
        <f>IFERROR(
INDEX(insumos[medida],MATCH(Ingredientes[[#This Row],[item]],insumos[item],0)),
IFERROR(
IF(MATCH(Ingredientes[[#This Row],[item]],CaProdutos[Item],0)&gt;0,"Unidades",""),
""
))</f>
        <v/>
      </c>
      <c r="H50" s="1" t="str">
        <f>IFERROR(INDEX(CaProdutos[Un. Por Lote], MATCH(Ingredientes[[#This Row],[Produto]], CaProdutos[Item], 0)), "")</f>
        <v/>
      </c>
      <c r="I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1" spans="4:9">
      <c r="D51" s="1" t="str">
        <f>IFERROR(
INDEX(insumos[ID],MATCH(Ingredientes[[#This Row],[item]],insumos[item],0)),
IFERROR(
INDEX(CaProdutos[ID],MATCH(Ingredientes[[#This Row],[item]],CaProdutos[Item],0)),
""
))</f>
        <v/>
      </c>
      <c r="F51" s="1"/>
      <c r="G51" s="1" t="str">
        <f>IFERROR(
INDEX(insumos[medida],MATCH(Ingredientes[[#This Row],[item]],insumos[item],0)),
IFERROR(
IF(MATCH(Ingredientes[[#This Row],[item]],CaProdutos[Item],0)&gt;0,"Unidades",""),
""
))</f>
        <v/>
      </c>
      <c r="H51" s="1" t="str">
        <f>IFERROR(INDEX(CaProdutos[Un. Por Lote], MATCH(Ingredientes[[#This Row],[Produto]], CaProdutos[Item], 0)), "")</f>
        <v/>
      </c>
      <c r="I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2" spans="4:9">
      <c r="D52" s="1" t="str">
        <f>IFERROR(
INDEX(insumos[ID],MATCH(Ingredientes[[#This Row],[item]],insumos[item],0)),
IFERROR(
INDEX(CaProdutos[ID],MATCH(Ingredientes[[#This Row],[item]],CaProdutos[Item],0)),
""
))</f>
        <v/>
      </c>
      <c r="F52" s="1"/>
      <c r="G52" s="1" t="str">
        <f>IFERROR(
INDEX(insumos[medida],MATCH(Ingredientes[[#This Row],[item]],insumos[item],0)),
IFERROR(
IF(MATCH(Ingredientes[[#This Row],[item]],CaProdutos[Item],0)&gt;0,"Unidades",""),
""
))</f>
        <v/>
      </c>
      <c r="H52" s="1" t="str">
        <f>IFERROR(INDEX(CaProdutos[Un. Por Lote], MATCH(Ingredientes[[#This Row],[Produto]], CaProdutos[Item], 0)), "")</f>
        <v/>
      </c>
      <c r="I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3" spans="4:9">
      <c r="D53" s="1" t="str">
        <f>IFERROR(
INDEX(insumos[ID],MATCH(Ingredientes[[#This Row],[item]],insumos[item],0)),
IFERROR(
INDEX(CaProdutos[ID],MATCH(Ingredientes[[#This Row],[item]],CaProdutos[Item],0)),
""
))</f>
        <v/>
      </c>
      <c r="F53" s="1"/>
      <c r="G53" s="1" t="str">
        <f>IFERROR(
INDEX(insumos[medida],MATCH(Ingredientes[[#This Row],[item]],insumos[item],0)),
IFERROR(
IF(MATCH(Ingredientes[[#This Row],[item]],CaProdutos[Item],0)&gt;0,"Unidades",""),
""
))</f>
        <v/>
      </c>
      <c r="H53" s="1" t="str">
        <f>IFERROR(INDEX(CaProdutos[Un. Por Lote], MATCH(Ingredientes[[#This Row],[Produto]], CaProdutos[Item], 0)), "")</f>
        <v/>
      </c>
      <c r="I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4" spans="4:9">
      <c r="D54" s="1" t="str">
        <f>IFERROR(
INDEX(insumos[ID],MATCH(Ingredientes[[#This Row],[item]],insumos[item],0)),
IFERROR(
INDEX(CaProdutos[ID],MATCH(Ingredientes[[#This Row],[item]],CaProdutos[Item],0)),
""
))</f>
        <v/>
      </c>
      <c r="F54" s="1"/>
      <c r="G54" s="1" t="str">
        <f>IFERROR(
INDEX(insumos[medida],MATCH(Ingredientes[[#This Row],[item]],insumos[item],0)),
IFERROR(
IF(MATCH(Ingredientes[[#This Row],[item]],CaProdutos[Item],0)&gt;0,"Unidades",""),
""
))</f>
        <v/>
      </c>
      <c r="H54" s="1" t="str">
        <f>IFERROR(INDEX(CaProdutos[Un. Por Lote], MATCH(Ingredientes[[#This Row],[Produto]], CaProdutos[Item], 0)), "")</f>
        <v/>
      </c>
      <c r="I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5" spans="4:9">
      <c r="D55" s="1" t="str">
        <f>IFERROR(
INDEX(insumos[ID],MATCH(Ingredientes[[#This Row],[item]],insumos[item],0)),
IFERROR(
INDEX(CaProdutos[ID],MATCH(Ingredientes[[#This Row],[item]],CaProdutos[Item],0)),
""
))</f>
        <v/>
      </c>
      <c r="F55" s="1"/>
      <c r="G55" s="1" t="str">
        <f>IFERROR(
INDEX(insumos[medida],MATCH(Ingredientes[[#This Row],[item]],insumos[item],0)),
IFERROR(
IF(MATCH(Ingredientes[[#This Row],[item]],CaProdutos[Item],0)&gt;0,"Unidades",""),
""
))</f>
        <v/>
      </c>
      <c r="H55" s="1" t="str">
        <f>IFERROR(INDEX(CaProdutos[Un. Por Lote], MATCH(Ingredientes[[#This Row],[Produto]], CaProdutos[Item], 0)), "")</f>
        <v/>
      </c>
      <c r="I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6" spans="4:9">
      <c r="D56" s="1" t="str">
        <f>IFERROR(
INDEX(insumos[ID],MATCH(Ingredientes[[#This Row],[item]],insumos[item],0)),
IFERROR(
INDEX(CaProdutos[ID],MATCH(Ingredientes[[#This Row],[item]],CaProdutos[Item],0)),
""
))</f>
        <v/>
      </c>
      <c r="F56" s="1"/>
      <c r="G56" s="1" t="str">
        <f>IFERROR(
INDEX(insumos[medida],MATCH(Ingredientes[[#This Row],[item]],insumos[item],0)),
IFERROR(
IF(MATCH(Ingredientes[[#This Row],[item]],CaProdutos[Item],0)&gt;0,"Unidades",""),
""
))</f>
        <v/>
      </c>
      <c r="H56" s="1" t="str">
        <f>IFERROR(INDEX(CaProdutos[Un. Por Lote], MATCH(Ingredientes[[#This Row],[Produto]], CaProdutos[Item], 0)), "")</f>
        <v/>
      </c>
      <c r="I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7" spans="4:9">
      <c r="D57" s="1" t="str">
        <f>IFERROR(
INDEX(insumos[ID],MATCH(Ingredientes[[#This Row],[item]],insumos[item],0)),
IFERROR(
INDEX(CaProdutos[ID],MATCH(Ingredientes[[#This Row],[item]],CaProdutos[Item],0)),
""
))</f>
        <v/>
      </c>
      <c r="F57" s="1"/>
      <c r="G57" s="1" t="str">
        <f>IFERROR(
INDEX(insumos[medida],MATCH(Ingredientes[[#This Row],[item]],insumos[item],0)),
IFERROR(
IF(MATCH(Ingredientes[[#This Row],[item]],CaProdutos[Item],0)&gt;0,"Unidades",""),
""
))</f>
        <v/>
      </c>
      <c r="H57" s="1" t="str">
        <f>IFERROR(INDEX(CaProdutos[Un. Por Lote], MATCH(Ingredientes[[#This Row],[Produto]], CaProdutos[Item], 0)), "")</f>
        <v/>
      </c>
      <c r="I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8" spans="4:9">
      <c r="D58" s="1" t="str">
        <f>IFERROR(
INDEX(insumos[ID],MATCH(Ingredientes[[#This Row],[item]],insumos[item],0)),
IFERROR(
INDEX(CaProdutos[ID],MATCH(Ingredientes[[#This Row],[item]],CaProdutos[Item],0)),
""
))</f>
        <v/>
      </c>
      <c r="F58" s="1"/>
      <c r="G58" s="1" t="str">
        <f>IFERROR(
INDEX(insumos[medida],MATCH(Ingredientes[[#This Row],[item]],insumos[item],0)),
IFERROR(
IF(MATCH(Ingredientes[[#This Row],[item]],CaProdutos[Item],0)&gt;0,"Unidades",""),
""
))</f>
        <v/>
      </c>
      <c r="H58" s="1" t="str">
        <f>IFERROR(INDEX(CaProdutos[Un. Por Lote], MATCH(Ingredientes[[#This Row],[Produto]], CaProdutos[Item], 0)), "")</f>
        <v/>
      </c>
      <c r="I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9" spans="4:9">
      <c r="D59" s="1" t="str">
        <f>IFERROR(
INDEX(insumos[ID],MATCH(Ingredientes[[#This Row],[item]],insumos[item],0)),
IFERROR(
INDEX(CaProdutos[ID],MATCH(Ingredientes[[#This Row],[item]],CaProdutos[Item],0)),
""
))</f>
        <v/>
      </c>
      <c r="F59" s="1"/>
      <c r="G59" s="1" t="str">
        <f>IFERROR(
INDEX(insumos[medida],MATCH(Ingredientes[[#This Row],[item]],insumos[item],0)),
IFERROR(
IF(MATCH(Ingredientes[[#This Row],[item]],CaProdutos[Item],0)&gt;0,"Unidades",""),
""
))</f>
        <v/>
      </c>
      <c r="H59" s="1" t="str">
        <f>IFERROR(INDEX(CaProdutos[Un. Por Lote], MATCH(Ingredientes[[#This Row],[Produto]], CaProdutos[Item], 0)), "")</f>
        <v/>
      </c>
      <c r="I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0" spans="4:9">
      <c r="D60" s="1" t="str">
        <f>IFERROR(
INDEX(insumos[ID],MATCH(Ingredientes[[#This Row],[item]],insumos[item],0)),
IFERROR(
INDEX(CaProdutos[ID],MATCH(Ingredientes[[#This Row],[item]],CaProdutos[Item],0)),
""
))</f>
        <v/>
      </c>
      <c r="F60" s="1"/>
      <c r="G60" s="1" t="str">
        <f>IFERROR(
INDEX(insumos[medida],MATCH(Ingredientes[[#This Row],[item]],insumos[item],0)),
IFERROR(
IF(MATCH(Ingredientes[[#This Row],[item]],CaProdutos[Item],0)&gt;0,"Unidades",""),
""
))</f>
        <v/>
      </c>
      <c r="H60" s="1" t="str">
        <f>IFERROR(INDEX(CaProdutos[Un. Por Lote], MATCH(Ingredientes[[#This Row],[Produto]], CaProdutos[Item], 0)), "")</f>
        <v/>
      </c>
      <c r="I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1" spans="4:9">
      <c r="D61" s="1" t="str">
        <f>IFERROR(
INDEX(insumos[ID],MATCH(Ingredientes[[#This Row],[item]],insumos[item],0)),
IFERROR(
INDEX(CaProdutos[ID],MATCH(Ingredientes[[#This Row],[item]],CaProdutos[Item],0)),
""
))</f>
        <v/>
      </c>
      <c r="F61" s="1"/>
      <c r="G61" s="1" t="str">
        <f>IFERROR(
INDEX(insumos[medida],MATCH(Ingredientes[[#This Row],[item]],insumos[item],0)),
IFERROR(
IF(MATCH(Ingredientes[[#This Row],[item]],CaProdutos[Item],0)&gt;0,"Unidades",""),
""
))</f>
        <v/>
      </c>
      <c r="H61" s="1" t="str">
        <f>IFERROR(INDEX(CaProdutos[Un. Por Lote], MATCH(Ingredientes[[#This Row],[Produto]], CaProdutos[Item], 0)), "")</f>
        <v/>
      </c>
      <c r="I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2" spans="4:9">
      <c r="D62" s="1" t="str">
        <f>IFERROR(
INDEX(insumos[ID],MATCH(Ingredientes[[#This Row],[item]],insumos[item],0)),
IFERROR(
INDEX(CaProdutos[ID],MATCH(Ingredientes[[#This Row],[item]],CaProdutos[Item],0)),
""
))</f>
        <v/>
      </c>
      <c r="F62" s="1"/>
      <c r="G62" s="1" t="str">
        <f>IFERROR(
INDEX(insumos[medida],MATCH(Ingredientes[[#This Row],[item]],insumos[item],0)),
IFERROR(
IF(MATCH(Ingredientes[[#This Row],[item]],CaProdutos[Item],0)&gt;0,"Unidades",""),
""
))</f>
        <v/>
      </c>
      <c r="H62" s="1" t="str">
        <f>IFERROR(INDEX(CaProdutos[Un. Por Lote], MATCH(Ingredientes[[#This Row],[Produto]], CaProdutos[Item], 0)), "")</f>
        <v/>
      </c>
      <c r="I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3" spans="4:9">
      <c r="D63" s="1" t="str">
        <f>IFERROR(
INDEX(insumos[ID],MATCH(Ingredientes[[#This Row],[item]],insumos[item],0)),
IFERROR(
INDEX(CaProdutos[ID],MATCH(Ingredientes[[#This Row],[item]],CaProdutos[Item],0)),
""
))</f>
        <v/>
      </c>
      <c r="F63" s="1"/>
      <c r="G63" s="1" t="str">
        <f>IFERROR(
INDEX(insumos[medida],MATCH(Ingredientes[[#This Row],[item]],insumos[item],0)),
IFERROR(
IF(MATCH(Ingredientes[[#This Row],[item]],CaProdutos[Item],0)&gt;0,"Unidades",""),
""
))</f>
        <v/>
      </c>
      <c r="H63" s="1" t="str">
        <f>IFERROR(INDEX(CaProdutos[Un. Por Lote], MATCH(Ingredientes[[#This Row],[Produto]], CaProdutos[Item], 0)), "")</f>
        <v/>
      </c>
      <c r="I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4" spans="4:9">
      <c r="D64" s="1" t="str">
        <f>IFERROR(
INDEX(insumos[ID],MATCH(Ingredientes[[#This Row],[item]],insumos[item],0)),
IFERROR(
INDEX(CaProdutos[ID],MATCH(Ingredientes[[#This Row],[item]],CaProdutos[Item],0)),
""
))</f>
        <v/>
      </c>
      <c r="F64" s="1"/>
      <c r="G64" s="1" t="str">
        <f>IFERROR(
INDEX(insumos[medida],MATCH(Ingredientes[[#This Row],[item]],insumos[item],0)),
IFERROR(
IF(MATCH(Ingredientes[[#This Row],[item]],CaProdutos[Item],0)&gt;0,"Unidades",""),
""
))</f>
        <v/>
      </c>
      <c r="H64" s="1" t="str">
        <f>IFERROR(INDEX(CaProdutos[Un. Por Lote], MATCH(Ingredientes[[#This Row],[Produto]], CaProdutos[Item], 0)), "")</f>
        <v/>
      </c>
      <c r="I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5" spans="4:9">
      <c r="D65" s="1" t="str">
        <f>IFERROR(
INDEX(insumos[ID],MATCH(Ingredientes[[#This Row],[item]],insumos[item],0)),
IFERROR(
INDEX(CaProdutos[ID],MATCH(Ingredientes[[#This Row],[item]],CaProdutos[Item],0)),
""
))</f>
        <v/>
      </c>
      <c r="F65" s="1"/>
      <c r="G65" s="1" t="str">
        <f>IFERROR(
INDEX(insumos[medida],MATCH(Ingredientes[[#This Row],[item]],insumos[item],0)),
IFERROR(
IF(MATCH(Ingredientes[[#This Row],[item]],CaProdutos[Item],0)&gt;0,"Unidades",""),
""
))</f>
        <v/>
      </c>
      <c r="H65" s="1" t="str">
        <f>IFERROR(INDEX(CaProdutos[Un. Por Lote], MATCH(Ingredientes[[#This Row],[Produto]], CaProdutos[Item], 0)), "")</f>
        <v/>
      </c>
      <c r="I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6" spans="4:9">
      <c r="D66" s="1" t="str">
        <f>IFERROR(
INDEX(insumos[ID],MATCH(Ingredientes[[#This Row],[item]],insumos[item],0)),
IFERROR(
INDEX(CaProdutos[ID],MATCH(Ingredientes[[#This Row],[item]],CaProdutos[Item],0)),
""
))</f>
        <v/>
      </c>
      <c r="F66" s="1"/>
      <c r="G66" s="1" t="str">
        <f>IFERROR(
INDEX(insumos[medida],MATCH(Ingredientes[[#This Row],[item]],insumos[item],0)),
IFERROR(
IF(MATCH(Ingredientes[[#This Row],[item]],CaProdutos[Item],0)&gt;0,"Unidades",""),
""
))</f>
        <v/>
      </c>
      <c r="H66" s="1" t="str">
        <f>IFERROR(INDEX(CaProdutos[Un. Por Lote], MATCH(Ingredientes[[#This Row],[Produto]], CaProdutos[Item], 0)), "")</f>
        <v/>
      </c>
      <c r="I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7" spans="4:9">
      <c r="D67" s="1" t="str">
        <f>IFERROR(
INDEX(insumos[ID],MATCH(Ingredientes[[#This Row],[item]],insumos[item],0)),
IFERROR(
INDEX(CaProdutos[ID],MATCH(Ingredientes[[#This Row],[item]],CaProdutos[Item],0)),
""
))</f>
        <v/>
      </c>
      <c r="F67" s="1"/>
      <c r="G67" s="1" t="str">
        <f>IFERROR(
INDEX(insumos[medida],MATCH(Ingredientes[[#This Row],[item]],insumos[item],0)),
IFERROR(
IF(MATCH(Ingredientes[[#This Row],[item]],CaProdutos[Item],0)&gt;0,"Unidades",""),
""
))</f>
        <v/>
      </c>
      <c r="H67" s="1" t="str">
        <f>IFERROR(INDEX(CaProdutos[Un. Por Lote], MATCH(Ingredientes[[#This Row],[Produto]], CaProdutos[Item], 0)), "")</f>
        <v/>
      </c>
      <c r="I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8" spans="4:9">
      <c r="D68" s="1" t="str">
        <f>IFERROR(
INDEX(insumos[ID],MATCH(Ingredientes[[#This Row],[item]],insumos[item],0)),
IFERROR(
INDEX(CaProdutos[ID],MATCH(Ingredientes[[#This Row],[item]],CaProdutos[Item],0)),
""
))</f>
        <v/>
      </c>
      <c r="F68" s="1"/>
      <c r="G68" s="1" t="str">
        <f>IFERROR(
INDEX(insumos[medida],MATCH(Ingredientes[[#This Row],[item]],insumos[item],0)),
IFERROR(
IF(MATCH(Ingredientes[[#This Row],[item]],CaProdutos[Item],0)&gt;0,"Unidades",""),
""
))</f>
        <v/>
      </c>
      <c r="H68" s="1" t="str">
        <f>IFERROR(INDEX(CaProdutos[Un. Por Lote], MATCH(Ingredientes[[#This Row],[Produto]], CaProdutos[Item], 0)), "")</f>
        <v/>
      </c>
      <c r="I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9" spans="4:9">
      <c r="D69" s="1" t="str">
        <f>IFERROR(
INDEX(insumos[ID],MATCH(Ingredientes[[#This Row],[item]],insumos[item],0)),
IFERROR(
INDEX(CaProdutos[ID],MATCH(Ingredientes[[#This Row],[item]],CaProdutos[Item],0)),
""
))</f>
        <v/>
      </c>
      <c r="F69" s="1"/>
      <c r="G69" s="1" t="str">
        <f>IFERROR(
INDEX(insumos[medida],MATCH(Ingredientes[[#This Row],[item]],insumos[item],0)),
IFERROR(
IF(MATCH(Ingredientes[[#This Row],[item]],CaProdutos[Item],0)&gt;0,"Unidades",""),
""
))</f>
        <v/>
      </c>
      <c r="H69" s="1" t="str">
        <f>IFERROR(INDEX(CaProdutos[Un. Por Lote], MATCH(Ingredientes[[#This Row],[Produto]], CaProdutos[Item], 0)), "")</f>
        <v/>
      </c>
      <c r="I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0" spans="4:9">
      <c r="D70" s="1" t="str">
        <f>IFERROR(
INDEX(insumos[ID],MATCH(Ingredientes[[#This Row],[item]],insumos[item],0)),
IFERROR(
INDEX(CaProdutos[ID],MATCH(Ingredientes[[#This Row],[item]],CaProdutos[Item],0)),
""
))</f>
        <v/>
      </c>
      <c r="F70" s="1"/>
      <c r="G70" s="1" t="str">
        <f>IFERROR(
INDEX(insumos[medida],MATCH(Ingredientes[[#This Row],[item]],insumos[item],0)),
IFERROR(
IF(MATCH(Ingredientes[[#This Row],[item]],CaProdutos[Item],0)&gt;0,"Unidades",""),
""
))</f>
        <v/>
      </c>
      <c r="H70" s="1" t="str">
        <f>IFERROR(INDEX(CaProdutos[Un. Por Lote], MATCH(Ingredientes[[#This Row],[Produto]], CaProdutos[Item], 0)), "")</f>
        <v/>
      </c>
      <c r="I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1" spans="4:9">
      <c r="D71" s="1" t="str">
        <f>IFERROR(
INDEX(insumos[ID],MATCH(Ingredientes[[#This Row],[item]],insumos[item],0)),
IFERROR(
INDEX(CaProdutos[ID],MATCH(Ingredientes[[#This Row],[item]],CaProdutos[Item],0)),
""
))</f>
        <v/>
      </c>
      <c r="F71" s="1"/>
      <c r="G71" s="1" t="str">
        <f>IFERROR(
INDEX(insumos[medida],MATCH(Ingredientes[[#This Row],[item]],insumos[item],0)),
IFERROR(
IF(MATCH(Ingredientes[[#This Row],[item]],CaProdutos[Item],0)&gt;0,"Unidades",""),
""
))</f>
        <v/>
      </c>
      <c r="H71" s="1" t="str">
        <f>IFERROR(INDEX(CaProdutos[Un. Por Lote], MATCH(Ingredientes[[#This Row],[Produto]], CaProdutos[Item], 0)), "")</f>
        <v/>
      </c>
      <c r="I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2" spans="4:9">
      <c r="D72" s="1" t="str">
        <f>IFERROR(
INDEX(insumos[ID],MATCH(Ingredientes[[#This Row],[item]],insumos[item],0)),
IFERROR(
INDEX(CaProdutos[ID],MATCH(Ingredientes[[#This Row],[item]],CaProdutos[Item],0)),
""
))</f>
        <v/>
      </c>
      <c r="F72" s="1"/>
      <c r="G72" s="1" t="str">
        <f>IFERROR(
INDEX(insumos[medida],MATCH(Ingredientes[[#This Row],[item]],insumos[item],0)),
IFERROR(
IF(MATCH(Ingredientes[[#This Row],[item]],CaProdutos[Item],0)&gt;0,"Unidades",""),
""
))</f>
        <v/>
      </c>
      <c r="H72" s="1" t="str">
        <f>IFERROR(INDEX(CaProdutos[Un. Por Lote], MATCH(Ingredientes[[#This Row],[Produto]], CaProdutos[Item], 0)), "")</f>
        <v/>
      </c>
      <c r="I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3" spans="4:9">
      <c r="D73" s="1" t="str">
        <f>IFERROR(
INDEX(insumos[ID],MATCH(Ingredientes[[#This Row],[item]],insumos[item],0)),
IFERROR(
INDEX(CaProdutos[ID],MATCH(Ingredientes[[#This Row],[item]],CaProdutos[Item],0)),
""
))</f>
        <v/>
      </c>
      <c r="F73" s="1"/>
      <c r="G73" s="1" t="str">
        <f>IFERROR(
INDEX(insumos[medida],MATCH(Ingredientes[[#This Row],[item]],insumos[item],0)),
IFERROR(
IF(MATCH(Ingredientes[[#This Row],[item]],CaProdutos[Item],0)&gt;0,"Unidades",""),
""
))</f>
        <v/>
      </c>
      <c r="H73" s="1" t="str">
        <f>IFERROR(INDEX(CaProdutos[Un. Por Lote], MATCH(Ingredientes[[#This Row],[Produto]], CaProdutos[Item], 0)), "")</f>
        <v/>
      </c>
      <c r="I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4" spans="4:9">
      <c r="D74" s="1" t="str">
        <f>IFERROR(
INDEX(insumos[ID],MATCH(Ingredientes[[#This Row],[item]],insumos[item],0)),
IFERROR(
INDEX(CaProdutos[ID],MATCH(Ingredientes[[#This Row],[item]],CaProdutos[Item],0)),
""
))</f>
        <v/>
      </c>
      <c r="F74" s="1"/>
      <c r="G74" s="1" t="str">
        <f>IFERROR(
INDEX(insumos[medida],MATCH(Ingredientes[[#This Row],[item]],insumos[item],0)),
IFERROR(
IF(MATCH(Ingredientes[[#This Row],[item]],CaProdutos[Item],0)&gt;0,"Unidades",""),
""
))</f>
        <v/>
      </c>
      <c r="H74" s="1" t="str">
        <f>IFERROR(INDEX(CaProdutos[Un. Por Lote], MATCH(Ingredientes[[#This Row],[Produto]], CaProdutos[Item], 0)), "")</f>
        <v/>
      </c>
      <c r="I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5" spans="4:9">
      <c r="D75" s="1" t="str">
        <f>IFERROR(
INDEX(insumos[ID],MATCH(Ingredientes[[#This Row],[item]],insumos[item],0)),
IFERROR(
INDEX(CaProdutos[ID],MATCH(Ingredientes[[#This Row],[item]],CaProdutos[Item],0)),
""
))</f>
        <v/>
      </c>
      <c r="F75" s="1"/>
      <c r="G75" s="1" t="str">
        <f>IFERROR(
INDEX(insumos[medida],MATCH(Ingredientes[[#This Row],[item]],insumos[item],0)),
IFERROR(
IF(MATCH(Ingredientes[[#This Row],[item]],CaProdutos[Item],0)&gt;0,"Unidades",""),
""
))</f>
        <v/>
      </c>
      <c r="H75" s="1" t="str">
        <f>IFERROR(INDEX(CaProdutos[Un. Por Lote], MATCH(Ingredientes[[#This Row],[Produto]], CaProdutos[Item], 0)), "")</f>
        <v/>
      </c>
      <c r="I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6" spans="4:9">
      <c r="D76" s="1" t="str">
        <f>IFERROR(
INDEX(insumos[ID],MATCH(Ingredientes[[#This Row],[item]],insumos[item],0)),
IFERROR(
INDEX(CaProdutos[ID],MATCH(Ingredientes[[#This Row],[item]],CaProdutos[Item],0)),
""
))</f>
        <v/>
      </c>
      <c r="F76" s="1"/>
      <c r="G76" s="1" t="str">
        <f>IFERROR(
INDEX(insumos[medida],MATCH(Ingredientes[[#This Row],[item]],insumos[item],0)),
IFERROR(
IF(MATCH(Ingredientes[[#This Row],[item]],CaProdutos[Item],0)&gt;0,"Unidades",""),
""
))</f>
        <v/>
      </c>
      <c r="H76" s="1" t="str">
        <f>IFERROR(INDEX(CaProdutos[Un. Por Lote], MATCH(Ingredientes[[#This Row],[Produto]], CaProdutos[Item], 0)), "")</f>
        <v/>
      </c>
      <c r="I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7" spans="4:9">
      <c r="D77" s="1" t="str">
        <f>IFERROR(
INDEX(insumos[ID],MATCH(Ingredientes[[#This Row],[item]],insumos[item],0)),
IFERROR(
INDEX(CaProdutos[ID],MATCH(Ingredientes[[#This Row],[item]],CaProdutos[Item],0)),
""
))</f>
        <v/>
      </c>
      <c r="F77" s="1"/>
      <c r="G77" s="1" t="str">
        <f>IFERROR(
INDEX(insumos[medida],MATCH(Ingredientes[[#This Row],[item]],insumos[item],0)),
IFERROR(
IF(MATCH(Ingredientes[[#This Row],[item]],CaProdutos[Item],0)&gt;0,"Unidades",""),
""
))</f>
        <v/>
      </c>
      <c r="H77" s="1" t="str">
        <f>IFERROR(INDEX(CaProdutos[Un. Por Lote], MATCH(Ingredientes[[#This Row],[Produto]], CaProdutos[Item], 0)), "")</f>
        <v/>
      </c>
      <c r="I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8" spans="4:9">
      <c r="D78" s="1" t="str">
        <f>IFERROR(
INDEX(insumos[ID],MATCH(Ingredientes[[#This Row],[item]],insumos[item],0)),
IFERROR(
INDEX(CaProdutos[ID],MATCH(Ingredientes[[#This Row],[item]],CaProdutos[Item],0)),
""
))</f>
        <v/>
      </c>
      <c r="F78" s="1"/>
      <c r="G78" s="1" t="str">
        <f>IFERROR(
INDEX(insumos[medida],MATCH(Ingredientes[[#This Row],[item]],insumos[item],0)),
IFERROR(
IF(MATCH(Ingredientes[[#This Row],[item]],CaProdutos[Item],0)&gt;0,"Unidades",""),
""
))</f>
        <v/>
      </c>
      <c r="H78" s="1" t="str">
        <f>IFERROR(INDEX(CaProdutos[Un. Por Lote], MATCH(Ingredientes[[#This Row],[Produto]], CaProdutos[Item], 0)), "")</f>
        <v/>
      </c>
      <c r="I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9" spans="4:9">
      <c r="D79" s="1" t="str">
        <f>IFERROR(
INDEX(insumos[ID],MATCH(Ingredientes[[#This Row],[item]],insumos[item],0)),
IFERROR(
INDEX(CaProdutos[ID],MATCH(Ingredientes[[#This Row],[item]],CaProdutos[Item],0)),
""
))</f>
        <v/>
      </c>
      <c r="F79" s="1"/>
      <c r="G79" s="1" t="str">
        <f>IFERROR(
INDEX(insumos[medida],MATCH(Ingredientes[[#This Row],[item]],insumos[item],0)),
IFERROR(
IF(MATCH(Ingredientes[[#This Row],[item]],CaProdutos[Item],0)&gt;0,"Unidades",""),
""
))</f>
        <v/>
      </c>
      <c r="H79" s="1" t="str">
        <f>IFERROR(INDEX(CaProdutos[Un. Por Lote], MATCH(Ingredientes[[#This Row],[Produto]], CaProdutos[Item], 0)), "")</f>
        <v/>
      </c>
      <c r="I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0" spans="4:9">
      <c r="D80" s="1" t="str">
        <f>IFERROR(
INDEX(insumos[ID],MATCH(Ingredientes[[#This Row],[item]],insumos[item],0)),
IFERROR(
INDEX(CaProdutos[ID],MATCH(Ingredientes[[#This Row],[item]],CaProdutos[Item],0)),
""
))</f>
        <v/>
      </c>
      <c r="F80" s="1"/>
      <c r="G80" s="1" t="str">
        <f>IFERROR(
INDEX(insumos[medida],MATCH(Ingredientes[[#This Row],[item]],insumos[item],0)),
IFERROR(
IF(MATCH(Ingredientes[[#This Row],[item]],CaProdutos[Item],0)&gt;0,"Unidades",""),
""
))</f>
        <v/>
      </c>
      <c r="H80" s="1" t="str">
        <f>IFERROR(INDEX(CaProdutos[Un. Por Lote], MATCH(Ingredientes[[#This Row],[Produto]], CaProdutos[Item], 0)), "")</f>
        <v/>
      </c>
      <c r="I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1" spans="4:11">
      <c r="D81" s="1" t="str">
        <f>IFERROR(
INDEX(insumos[ID],MATCH(Ingredientes[[#This Row],[item]],insumos[item],0)),
IFERROR(
INDEX(CaProdutos[ID],MATCH(Ingredientes[[#This Row],[item]],CaProdutos[Item],0)),
""
))</f>
        <v/>
      </c>
      <c r="F81" s="1"/>
      <c r="G81" s="1" t="str">
        <f>IFERROR(
INDEX(insumos[medida],MATCH(Ingredientes[[#This Row],[item]],insumos[item],0)),
IFERROR(
IF(MATCH(Ingredientes[[#This Row],[item]],CaProdutos[Item],0)&gt;0,"Unidades",""),
""
))</f>
        <v/>
      </c>
      <c r="H81" s="1" t="str">
        <f>IFERROR(INDEX(CaProdutos[Un. Por Lote], MATCH(Ingredientes[[#This Row],[Produto]], CaProdutos[Item], 0)), "")</f>
        <v/>
      </c>
      <c r="I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2" spans="4:11">
      <c r="D82" s="1" t="str">
        <f>IFERROR(
INDEX(insumos[ID],MATCH(Ingredientes[[#This Row],[item]],insumos[item],0)),
IFERROR(
INDEX(CaProdutos[ID],MATCH(Ingredientes[[#This Row],[item]],CaProdutos[Item],0)),
""
))</f>
        <v/>
      </c>
      <c r="F82" s="1"/>
      <c r="G82" s="1" t="str">
        <f>IFERROR(
INDEX(insumos[medida],MATCH(Ingredientes[[#This Row],[item]],insumos[item],0)),
IFERROR(
IF(MATCH(Ingredientes[[#This Row],[item]],CaProdutos[Item],0)&gt;0,"Unidades",""),
""
))</f>
        <v/>
      </c>
      <c r="H82" s="1" t="str">
        <f>IFERROR(INDEX(CaProdutos[Un. Por Lote], MATCH(Ingredientes[[#This Row],[Produto]], CaProdutos[Item], 0)), "")</f>
        <v/>
      </c>
      <c r="I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3" spans="4:11">
      <c r="D83" s="1" t="str">
        <f>IFERROR(
INDEX(insumos[ID],MATCH(Ingredientes[[#This Row],[item]],insumos[item],0)),
IFERROR(
INDEX(CaProdutos[ID],MATCH(Ingredientes[[#This Row],[item]],CaProdutos[Item],0)),
""
))</f>
        <v/>
      </c>
      <c r="F83" s="1"/>
      <c r="G83" s="1" t="str">
        <f>IFERROR(
INDEX(insumos[medida],MATCH(Ingredientes[[#This Row],[item]],insumos[item],0)),
IFERROR(
IF(MATCH(Ingredientes[[#This Row],[item]],CaProdutos[Item],0)&gt;0,"Unidades",""),
""
))</f>
        <v/>
      </c>
      <c r="H83" s="1" t="str">
        <f>IFERROR(INDEX(CaProdutos[Un. Por Lote], MATCH(Ingredientes[[#This Row],[Produto]], CaProdutos[Item], 0)), "")</f>
        <v/>
      </c>
      <c r="I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4" spans="4:11">
      <c r="D84" s="1" t="str">
        <f>IFERROR(
INDEX(insumos[ID],MATCH(Ingredientes[[#This Row],[item]],insumos[item],0)),
IFERROR(
INDEX(CaProdutos[ID],MATCH(Ingredientes[[#This Row],[item]],CaProdutos[Item],0)),
""
))</f>
        <v/>
      </c>
      <c r="F84" s="1"/>
      <c r="G84" s="1" t="str">
        <f>IFERROR(
INDEX(insumos[medida],MATCH(Ingredientes[[#This Row],[item]],insumos[item],0)),
IFERROR(
IF(MATCH(Ingredientes[[#This Row],[item]],CaProdutos[Item],0)&gt;0,"Unidades",""),
""
))</f>
        <v/>
      </c>
      <c r="H84" s="1" t="str">
        <f>IFERROR(INDEX(CaProdutos[Un. Por Lote], MATCH(Ingredientes[[#This Row],[Produto]], CaProdutos[Item], 0)), "")</f>
        <v/>
      </c>
      <c r="I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5" spans="4:11">
      <c r="D85" s="1" t="str">
        <f>IFERROR(
INDEX(insumos[ID],MATCH(Ingredientes[[#This Row],[item]],insumos[item],0)),
IFERROR(
INDEX(CaProdutos[ID],MATCH(Ingredientes[[#This Row],[item]],CaProdutos[Item],0)),
""
))</f>
        <v/>
      </c>
      <c r="F85" s="1"/>
      <c r="G85" s="1" t="str">
        <f>IFERROR(
INDEX(insumos[medida],MATCH(Ingredientes[[#This Row],[item]],insumos[item],0)),
IFERROR(
IF(MATCH(Ingredientes[[#This Row],[item]],CaProdutos[Item],0)&gt;0,"Unidades",""),
""
))</f>
        <v/>
      </c>
      <c r="H85" s="1" t="str">
        <f>IFERROR(INDEX(CaProdutos[Un. Por Lote], MATCH(Ingredientes[[#This Row],[Produto]], CaProdutos[Item], 0)), "")</f>
        <v/>
      </c>
      <c r="I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6" spans="4:11">
      <c r="D86" s="1" t="str">
        <f>IFERROR(
INDEX(insumos[ID],MATCH(Ingredientes[[#This Row],[item]],insumos[item],0)),
IFERROR(
INDEX(CaProdutos[ID],MATCH(Ingredientes[[#This Row],[item]],CaProdutos[Item],0)),
""
))</f>
        <v/>
      </c>
      <c r="F86" s="1"/>
      <c r="G86" s="1" t="str">
        <f>IFERROR(
INDEX(insumos[medida],MATCH(Ingredientes[[#This Row],[item]],insumos[item],0)),
IFERROR(
IF(MATCH(Ingredientes[[#This Row],[item]],CaProdutos[Item],0)&gt;0,"Unidades",""),
""
))</f>
        <v/>
      </c>
      <c r="H86" s="1" t="str">
        <f>IFERROR(INDEX(CaProdutos[Un. Por Lote], MATCH(Ingredientes[[#This Row],[Produto]], CaProdutos[Item], 0)), "")</f>
        <v/>
      </c>
      <c r="I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7" spans="4:11">
      <c r="D87" s="1" t="str">
        <f>IFERROR(
INDEX(insumos[ID],MATCH(Ingredientes[[#This Row],[item]],insumos[item],0)),
IFERROR(
INDEX(CaProdutos[ID],MATCH(Ingredientes[[#This Row],[item]],CaProdutos[Item],0)),
""
))</f>
        <v/>
      </c>
      <c r="F87" s="1"/>
      <c r="G87" s="1" t="str">
        <f>IFERROR(
INDEX(insumos[medida],MATCH(Ingredientes[[#This Row],[item]],insumos[item],0)),
IFERROR(
IF(MATCH(Ingredientes[[#This Row],[item]],CaProdutos[Item],0)&gt;0,"Unidades",""),
""
))</f>
        <v/>
      </c>
      <c r="H87" s="1" t="str">
        <f>IFERROR(INDEX(CaProdutos[Un. Por Lote], MATCH(Ingredientes[[#This Row],[Produto]], CaProdutos[Item], 0)), "")</f>
        <v/>
      </c>
      <c r="I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8" spans="4:11">
      <c r="D88" s="1" t="str">
        <f>IFERROR(
INDEX(insumos[ID],MATCH(Ingredientes[[#This Row],[item]],insumos[item],0)),
IFERROR(
INDEX(CaProdutos[ID],MATCH(Ingredientes[[#This Row],[item]],CaProdutos[Item],0)),
""
))</f>
        <v/>
      </c>
      <c r="F88" s="1"/>
      <c r="G88" s="1" t="str">
        <f>IFERROR(
INDEX(insumos[medida],MATCH(Ingredientes[[#This Row],[item]],insumos[item],0)),
IFERROR(
IF(MATCH(Ingredientes[[#This Row],[item]],CaProdutos[Item],0)&gt;0,"Unidades",""),
""
))</f>
        <v/>
      </c>
      <c r="H88" s="1" t="str">
        <f>IFERROR(INDEX(CaProdutos[Un. Por Lote], MATCH(Ingredientes[[#This Row],[Produto]], CaProdutos[Item], 0)), "")</f>
        <v/>
      </c>
      <c r="I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8">
        <f>Ingredientes[[#This Row],[qtd.]] / 15 * 10</f>
        <v>0</v>
      </c>
      <c r="K88" t="e">
        <f>J88 / INDEX(insumos[quantidade], MATCH(Ingredientes[[#This Row],[item]], insumos[item], 0))</f>
        <v>#N/A</v>
      </c>
    </row>
    <row r="89" spans="4:11">
      <c r="D89" s="1" t="str">
        <f>IFERROR(
INDEX(insumos[ID],MATCH(Ingredientes[[#This Row],[item]],insumos[item],0)),
IFERROR(
INDEX(CaProdutos[ID],MATCH(Ingredientes[[#This Row],[item]],CaProdutos[Item],0)),
""
))</f>
        <v/>
      </c>
      <c r="F89" s="1"/>
      <c r="G89" s="1" t="str">
        <f>IFERROR(
INDEX(insumos[medida],MATCH(Ingredientes[[#This Row],[item]],insumos[item],0)),
IFERROR(
IF(MATCH(Ingredientes[[#This Row],[item]],CaProdutos[Item],0)&gt;0,"Unidades",""),
""
))</f>
        <v/>
      </c>
      <c r="H89" s="1" t="str">
        <f>IFERROR(INDEX(CaProdutos[Un. Por Lote], MATCH(Ingredientes[[#This Row],[Produto]], CaProdutos[Item], 0)), "")</f>
        <v/>
      </c>
      <c r="I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9">
        <f>Ingredientes[[#This Row],[qtd.]] / 15 * 10</f>
        <v>0</v>
      </c>
      <c r="K89" t="e">
        <f>J89 / INDEX(insumos[quantidade], MATCH(Ingredientes[[#This Row],[item]], insumos[item], 0))</f>
        <v>#N/A</v>
      </c>
    </row>
    <row r="90" spans="4:11">
      <c r="D90" s="1" t="str">
        <f>IFERROR(
INDEX(insumos[ID],MATCH(Ingredientes[[#This Row],[item]],insumos[item],0)),
IFERROR(
INDEX(CaProdutos[ID],MATCH(Ingredientes[[#This Row],[item]],CaProdutos[Item],0)),
""
))</f>
        <v/>
      </c>
      <c r="F90" s="1"/>
      <c r="G90" s="1" t="str">
        <f>IFERROR(
INDEX(insumos[medida],MATCH(Ingredientes[[#This Row],[item]],insumos[item],0)),
IFERROR(
IF(MATCH(Ingredientes[[#This Row],[item]],CaProdutos[Item],0)&gt;0,"Unidades",""),
""
))</f>
        <v/>
      </c>
      <c r="H90" s="1" t="str">
        <f>IFERROR(INDEX(CaProdutos[Un. Por Lote], MATCH(Ingredientes[[#This Row],[Produto]], CaProdutos[Item], 0)), "")</f>
        <v/>
      </c>
      <c r="I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0">
        <f>Ingredientes[[#This Row],[qtd.]] / 15 * 10</f>
        <v>0</v>
      </c>
      <c r="K90" t="e">
        <f>J90 / INDEX(insumos[quantidade], MATCH(Ingredientes[[#This Row],[item]], insumos[item], 0))</f>
        <v>#N/A</v>
      </c>
    </row>
    <row r="91" spans="4:11">
      <c r="D91" s="1" t="str">
        <f>IFERROR(
INDEX(insumos[ID],MATCH(Ingredientes[[#This Row],[item]],insumos[item],0)),
IFERROR(
INDEX(CaProdutos[ID],MATCH(Ingredientes[[#This Row],[item]],CaProdutos[Item],0)),
""
))</f>
        <v/>
      </c>
      <c r="F91" s="1"/>
      <c r="G91" s="1" t="str">
        <f>IFERROR(
INDEX(insumos[medida],MATCH(Ingredientes[[#This Row],[item]],insumos[item],0)),
IFERROR(
IF(MATCH(Ingredientes[[#This Row],[item]],CaProdutos[Item],0)&gt;0,"Unidades",""),
""
))</f>
        <v/>
      </c>
      <c r="H91" s="1" t="str">
        <f>IFERROR(INDEX(CaProdutos[Un. Por Lote], MATCH(Ingredientes[[#This Row],[Produto]], CaProdutos[Item], 0)), "")</f>
        <v/>
      </c>
      <c r="I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1">
        <f>Ingredientes[[#This Row],[qtd.]] / 15 * 10</f>
        <v>0</v>
      </c>
      <c r="K91" t="e">
        <f>J91 / INDEX(insumos[quantidade], MATCH(Ingredientes[[#This Row],[item]], insumos[item], 0))</f>
        <v>#N/A</v>
      </c>
    </row>
    <row r="92" spans="4:11">
      <c r="D92" s="1" t="str">
        <f>IFERROR(
INDEX(insumos[ID],MATCH(Ingredientes[[#This Row],[item]],insumos[item],0)),
IFERROR(
INDEX(CaProdutos[ID],MATCH(Ingredientes[[#This Row],[item]],CaProdutos[Item],0)),
""
))</f>
        <v/>
      </c>
      <c r="F92" s="1"/>
      <c r="G92" s="1" t="str">
        <f>IFERROR(
INDEX(insumos[medida],MATCH(Ingredientes[[#This Row],[item]],insumos[item],0)),
IFERROR(
IF(MATCH(Ingredientes[[#This Row],[item]],CaProdutos[Item],0)&gt;0,"Unidades",""),
""
))</f>
        <v/>
      </c>
      <c r="H92" s="1" t="str">
        <f>IFERROR(INDEX(CaProdutos[Un. Por Lote], MATCH(Ingredientes[[#This Row],[Produto]], CaProdutos[Item], 0)), "")</f>
        <v/>
      </c>
      <c r="I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2">
        <f>Ingredientes[[#This Row],[qtd.]] / 15 * 10</f>
        <v>0</v>
      </c>
      <c r="K92" t="e">
        <f>J92 / INDEX(insumos[quantidade], MATCH(Ingredientes[[#This Row],[item]], insumos[item], 0))</f>
        <v>#N/A</v>
      </c>
    </row>
    <row r="93" spans="4:11">
      <c r="D93" s="1" t="str">
        <f>IFERROR(
INDEX(insumos[ID],MATCH(Ingredientes[[#This Row],[item]],insumos[item],0)),
IFERROR(
INDEX(CaProdutos[ID],MATCH(Ingredientes[[#This Row],[item]],CaProdutos[Item],0)),
""
))</f>
        <v/>
      </c>
      <c r="F93" s="1"/>
      <c r="G93" s="1" t="str">
        <f>IFERROR(
INDEX(insumos[medida],MATCH(Ingredientes[[#This Row],[item]],insumos[item],0)),
IFERROR(
IF(MATCH(Ingredientes[[#This Row],[item]],CaProdutos[Item],0)&gt;0,"Unidades",""),
""
))</f>
        <v/>
      </c>
      <c r="H93" s="1" t="str">
        <f>IFERROR(INDEX(CaProdutos[Un. Por Lote], MATCH(Ingredientes[[#This Row],[Produto]], CaProdutos[Item], 0)), "")</f>
        <v/>
      </c>
      <c r="I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3">
        <f>Ingredientes[[#This Row],[qtd.]] / 15 * 10</f>
        <v>0</v>
      </c>
      <c r="K93" t="e">
        <f>J93 / INDEX(insumos[quantidade], MATCH(Ingredientes[[#This Row],[item]], insumos[item], 0))</f>
        <v>#N/A</v>
      </c>
    </row>
    <row r="94" spans="4:11">
      <c r="D94" s="1" t="str">
        <f>IFERROR(
INDEX(insumos[ID],MATCH(Ingredientes[[#This Row],[item]],insumos[item],0)),
IFERROR(
INDEX(CaProdutos[ID],MATCH(Ingredientes[[#This Row],[item]],CaProdutos[Item],0)),
""
))</f>
        <v/>
      </c>
      <c r="F94" s="1"/>
      <c r="G94" s="1" t="str">
        <f>IFERROR(
INDEX(insumos[medida],MATCH(Ingredientes[[#This Row],[item]],insumos[item],0)),
IFERROR(
IF(MATCH(Ingredientes[[#This Row],[item]],CaProdutos[Item],0)&gt;0,"Unidades",""),
""
))</f>
        <v/>
      </c>
      <c r="H94" s="1" t="str">
        <f>IFERROR(INDEX(CaProdutos[Un. Por Lote], MATCH(Ingredientes[[#This Row],[Produto]], CaProdutos[Item], 0)), "")</f>
        <v/>
      </c>
      <c r="I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4">
        <f>Ingredientes[[#This Row],[qtd.]] / 15 * 10</f>
        <v>0</v>
      </c>
      <c r="K94" t="e">
        <f>J94 / INDEX(insumos[quantidade], MATCH(Ingredientes[[#This Row],[item]], insumos[item], 0))</f>
        <v>#N/A</v>
      </c>
    </row>
    <row r="95" spans="4:11">
      <c r="D95" s="1" t="str">
        <f>IFERROR(
INDEX(insumos[ID],MATCH(Ingredientes[[#This Row],[item]],insumos[item],0)),
IFERROR(
INDEX(CaProdutos[ID],MATCH(Ingredientes[[#This Row],[item]],CaProdutos[Item],0)),
""
))</f>
        <v/>
      </c>
      <c r="F95" s="1"/>
      <c r="G95" s="1" t="str">
        <f>IFERROR(
INDEX(insumos[medida],MATCH(Ingredientes[[#This Row],[item]],insumos[item],0)),
IFERROR(
IF(MATCH(Ingredientes[[#This Row],[item]],CaProdutos[Item],0)&gt;0,"Unidades",""),
""
))</f>
        <v/>
      </c>
      <c r="H95" s="1" t="str">
        <f>IFERROR(INDEX(CaProdutos[Un. Por Lote], MATCH(Ingredientes[[#This Row],[Produto]], CaProdutos[Item], 0)), "")</f>
        <v/>
      </c>
      <c r="I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5">
        <f>Ingredientes[[#This Row],[qtd.]] / 15 * 10</f>
        <v>0</v>
      </c>
      <c r="K95" t="e">
        <f>J95 / INDEX(insumos[quantidade], MATCH(Ingredientes[[#This Row],[item]], insumos[item], 0))</f>
        <v>#N/A</v>
      </c>
    </row>
    <row r="96" spans="4:11">
      <c r="D96" s="1" t="str">
        <f>IFERROR(
INDEX(insumos[ID],MATCH(Ingredientes[[#This Row],[item]],insumos[item],0)),
IFERROR(
INDEX(CaProdutos[ID],MATCH(Ingredientes[[#This Row],[item]],CaProdutos[Item],0)),
""
))</f>
        <v/>
      </c>
      <c r="F96" s="1"/>
      <c r="G96" s="1" t="str">
        <f>IFERROR(
INDEX(insumos[medida],MATCH(Ingredientes[[#This Row],[item]],insumos[item],0)),
IFERROR(
IF(MATCH(Ingredientes[[#This Row],[item]],CaProdutos[Item],0)&gt;0,"Unidades",""),
""
))</f>
        <v/>
      </c>
      <c r="H96" s="1" t="str">
        <f>IFERROR(INDEX(CaProdutos[Un. Por Lote], MATCH(Ingredientes[[#This Row],[Produto]], CaProdutos[Item], 0)), "")</f>
        <v/>
      </c>
      <c r="I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6">
        <f>Ingredientes[[#This Row],[qtd.]] / 15 * 10</f>
        <v>0</v>
      </c>
      <c r="K96" t="e">
        <f>J96 / INDEX(insumos[quantidade], MATCH(Ingredientes[[#This Row],[item]], insumos[item], 0))</f>
        <v>#N/A</v>
      </c>
    </row>
    <row r="97" spans="4:11">
      <c r="D97" s="1" t="str">
        <f>IFERROR(
INDEX(insumos[ID],MATCH(Ingredientes[[#This Row],[item]],insumos[item],0)),
IFERROR(
INDEX(CaProdutos[ID],MATCH(Ingredientes[[#This Row],[item]],CaProdutos[Item],0)),
""
))</f>
        <v/>
      </c>
      <c r="F97" s="1"/>
      <c r="G97" s="1" t="str">
        <f>IFERROR(
INDEX(insumos[medida],MATCH(Ingredientes[[#This Row],[item]],insumos[item],0)),
IFERROR(
IF(MATCH(Ingredientes[[#This Row],[item]],CaProdutos[Item],0)&gt;0,"Unidades",""),
""
))</f>
        <v/>
      </c>
      <c r="H97" s="1" t="str">
        <f>IFERROR(INDEX(CaProdutos[Un. Por Lote], MATCH(Ingredientes[[#This Row],[Produto]], CaProdutos[Item], 0)), "")</f>
        <v/>
      </c>
      <c r="I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7">
        <f>Ingredientes[[#This Row],[qtd.]] / 15 * 10</f>
        <v>0</v>
      </c>
      <c r="K97" t="e">
        <f>J97 / INDEX(insumos[quantidade], MATCH(Ingredientes[[#This Row],[item]], insumos[item], 0))</f>
        <v>#N/A</v>
      </c>
    </row>
    <row r="98" spans="4:11">
      <c r="D98" s="1" t="str">
        <f>IFERROR(
INDEX(insumos[ID],MATCH(Ingredientes[[#This Row],[item]],insumos[item],0)),
IFERROR(
INDEX(CaProdutos[ID],MATCH(Ingredientes[[#This Row],[item]],CaProdutos[Item],0)),
""
))</f>
        <v/>
      </c>
      <c r="F98" s="1"/>
      <c r="G98" s="1" t="str">
        <f>IFERROR(
INDEX(insumos[medida],MATCH(Ingredientes[[#This Row],[item]],insumos[item],0)),
IFERROR(
IF(MATCH(Ingredientes[[#This Row],[item]],CaProdutos[Item],0)&gt;0,"Unidades",""),
""
))</f>
        <v/>
      </c>
      <c r="H98" s="1" t="str">
        <f>IFERROR(INDEX(CaProdutos[Un. Por Lote], MATCH(Ingredientes[[#This Row],[Produto]], CaProdutos[Item], 0)), "")</f>
        <v/>
      </c>
      <c r="I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8">
        <f>Ingredientes[[#This Row],[qtd.]] / 15 * 10</f>
        <v>0</v>
      </c>
      <c r="K98" t="e">
        <f>J98 / INDEX(insumos[quantidade], MATCH(Ingredientes[[#This Row],[item]], insumos[item], 0))</f>
        <v>#N/A</v>
      </c>
    </row>
    <row r="99" spans="4:11">
      <c r="D99" s="1" t="str">
        <f>IFERROR(
INDEX(insumos[ID],MATCH(Ingredientes[[#This Row],[item]],insumos[item],0)),
IFERROR(
INDEX(CaProdutos[ID],MATCH(Ingredientes[[#This Row],[item]],CaProdutos[Item],0)),
""
))</f>
        <v/>
      </c>
      <c r="F99" s="1"/>
      <c r="G99" s="1" t="str">
        <f>IFERROR(
INDEX(insumos[medida],MATCH(Ingredientes[[#This Row],[item]],insumos[item],0)),
IFERROR(
IF(MATCH(Ingredientes[[#This Row],[item]],CaProdutos[Item],0)&gt;0,"Unidades",""),
""
))</f>
        <v/>
      </c>
      <c r="H99" s="1" t="str">
        <f>IFERROR(INDEX(CaProdutos[Un. Por Lote], MATCH(Ingredientes[[#This Row],[Produto]], CaProdutos[Item], 0)), "")</f>
        <v/>
      </c>
      <c r="I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9">
        <f>Ingredientes[[#This Row],[qtd.]] / 15 * 10</f>
        <v>0</v>
      </c>
      <c r="K99" t="e">
        <f>J99 / INDEX(insumos[quantidade], MATCH(Ingredientes[[#This Row],[item]], insumos[item], 0))</f>
        <v>#N/A</v>
      </c>
    </row>
    <row r="100" spans="4:11">
      <c r="D100" s="1" t="str">
        <f>IFERROR(
INDEX(insumos[ID],MATCH(Ingredientes[[#This Row],[item]],insumos[item],0)),
IFERROR(
INDEX(CaProdutos[ID],MATCH(Ingredientes[[#This Row],[item]],CaProdutos[Item],0)),
""
))</f>
        <v/>
      </c>
      <c r="F100" s="1"/>
      <c r="G100" s="1" t="str">
        <f>IFERROR(
INDEX(insumos[medida],MATCH(Ingredientes[[#This Row],[item]],insumos[item],0)),
IFERROR(
IF(MATCH(Ingredientes[[#This Row],[item]],CaProdutos[Item],0)&gt;0,"Unidades",""),
""
))</f>
        <v/>
      </c>
      <c r="H100" s="1" t="str">
        <f>IFERROR(INDEX(CaProdutos[Un. Por Lote], MATCH(Ingredientes[[#This Row],[Produto]], CaProdutos[Item], 0)), "")</f>
        <v/>
      </c>
      <c r="I1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0">
        <f>Ingredientes[[#This Row],[qtd.]] / 15 * 10</f>
        <v>0</v>
      </c>
      <c r="K100" t="e">
        <f>J100 / INDEX(insumos[quantidade], MATCH(Ingredientes[[#This Row],[item]], insumos[item], 0))</f>
        <v>#N/A</v>
      </c>
    </row>
    <row r="101" spans="4:11">
      <c r="D101" s="1" t="str">
        <f>IFERROR(
INDEX(insumos[ID],MATCH(Ingredientes[[#This Row],[item]],insumos[item],0)),
IFERROR(
INDEX(CaProdutos[ID],MATCH(Ingredientes[[#This Row],[item]],CaProdutos[Item],0)),
""
))</f>
        <v/>
      </c>
      <c r="F101" s="1"/>
      <c r="G101" s="1" t="str">
        <f>IFERROR(
INDEX(insumos[medida],MATCH(Ingredientes[[#This Row],[item]],insumos[item],0)),
IFERROR(
IF(MATCH(Ingredientes[[#This Row],[item]],CaProdutos[Item],0)&gt;0,"Unidades",""),
""
))</f>
        <v/>
      </c>
      <c r="H101" s="1" t="str">
        <f>IFERROR(INDEX(CaProdutos[Un. Por Lote], MATCH(Ingredientes[[#This Row],[Produto]], CaProdutos[Item], 0)), "")</f>
        <v/>
      </c>
      <c r="I1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1">
        <f>Ingredientes[[#This Row],[qtd.]] / 15 * 10</f>
        <v>0</v>
      </c>
      <c r="K101" t="e">
        <f>J101 / INDEX(insumos[quantidade], MATCH(Ingredientes[[#This Row],[item]], insumos[item], 0))</f>
        <v>#N/A</v>
      </c>
    </row>
    <row r="102" spans="4:11">
      <c r="D102" s="1" t="str">
        <f>IFERROR(
INDEX(insumos[ID],MATCH(Ingredientes[[#This Row],[item]],insumos[item],0)),
IFERROR(
INDEX(CaProdutos[ID],MATCH(Ingredientes[[#This Row],[item]],CaProdutos[Item],0)),
""
))</f>
        <v/>
      </c>
      <c r="F102" s="1"/>
      <c r="G102" s="1" t="str">
        <f>IFERROR(
INDEX(insumos[medida],MATCH(Ingredientes[[#This Row],[item]],insumos[item],0)),
IFERROR(
IF(MATCH(Ingredientes[[#This Row],[item]],CaProdutos[Item],0)&gt;0,"Unidades",""),
""
))</f>
        <v/>
      </c>
      <c r="H102" s="1" t="str">
        <f>IFERROR(INDEX(CaProdutos[Un. Por Lote], MATCH(Ingredientes[[#This Row],[Produto]], CaProdutos[Item], 0)), "")</f>
        <v/>
      </c>
      <c r="I1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2">
        <f>Ingredientes[[#This Row],[qtd.]] / 15 * 10</f>
        <v>0</v>
      </c>
      <c r="K102" t="e">
        <f>J102 / INDEX(insumos[quantidade], MATCH(Ingredientes[[#This Row],[item]], insumos[item], 0))</f>
        <v>#N/A</v>
      </c>
    </row>
    <row r="103" spans="4:11">
      <c r="D103" s="1" t="str">
        <f>IFERROR(
INDEX(insumos[ID],MATCH(Ingredientes[[#This Row],[item]],insumos[item],0)),
IFERROR(
INDEX(CaProdutos[ID],MATCH(Ingredientes[[#This Row],[item]],CaProdutos[Item],0)),
""
))</f>
        <v/>
      </c>
      <c r="F103" s="1"/>
      <c r="G103" s="1" t="str">
        <f>IFERROR(
INDEX(insumos[medida],MATCH(Ingredientes[[#This Row],[item]],insumos[item],0)),
IFERROR(
IF(MATCH(Ingredientes[[#This Row],[item]],CaProdutos[Item],0)&gt;0,"Unidades",""),
""
))</f>
        <v/>
      </c>
      <c r="H103" s="1" t="str">
        <f>IFERROR(INDEX(CaProdutos[Un. Por Lote], MATCH(Ingredientes[[#This Row],[Produto]], CaProdutos[Item], 0)), "")</f>
        <v/>
      </c>
      <c r="I1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3">
        <f>Ingredientes[[#This Row],[qtd.]] / 15 * 10</f>
        <v>0</v>
      </c>
      <c r="K103" t="e">
        <f>J103 / INDEX(insumos[quantidade], MATCH(Ingredientes[[#This Row],[item]], insumos[item], 0))</f>
        <v>#N/A</v>
      </c>
    </row>
    <row r="104" spans="4:11">
      <c r="D104" s="1" t="str">
        <f>IFERROR(
INDEX(insumos[ID],MATCH(Ingredientes[[#This Row],[item]],insumos[item],0)),
IFERROR(
INDEX(CaProdutos[ID],MATCH(Ingredientes[[#This Row],[item]],CaProdutos[Item],0)),
""
))</f>
        <v/>
      </c>
      <c r="F104" s="1"/>
      <c r="G104" s="1" t="str">
        <f>IFERROR(
INDEX(insumos[medida],MATCH(Ingredientes[[#This Row],[item]],insumos[item],0)),
IFERROR(
IF(MATCH(Ingredientes[[#This Row],[item]],CaProdutos[Item],0)&gt;0,"Unidades",""),
""
))</f>
        <v/>
      </c>
      <c r="H104" s="1" t="str">
        <f>IFERROR(INDEX(CaProdutos[Un. Por Lote], MATCH(Ingredientes[[#This Row],[Produto]], CaProdutos[Item], 0)), "")</f>
        <v/>
      </c>
      <c r="I1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4">
        <f>Ingredientes[[#This Row],[qtd.]] / 15 * 10</f>
        <v>0</v>
      </c>
      <c r="K104" t="e">
        <f>J104 / INDEX(insumos[quantidade], MATCH(Ingredientes[[#This Row],[item]], insumos[item], 0))</f>
        <v>#N/A</v>
      </c>
    </row>
    <row r="105" spans="4:11">
      <c r="D105" s="1" t="str">
        <f>IFERROR(
INDEX(insumos[ID],MATCH(Ingredientes[[#This Row],[item]],insumos[item],0)),
IFERROR(
INDEX(CaProdutos[ID],MATCH(Ingredientes[[#This Row],[item]],CaProdutos[Item],0)),
""
))</f>
        <v/>
      </c>
      <c r="F105" s="1"/>
      <c r="G105" s="1" t="str">
        <f>IFERROR(
INDEX(insumos[medida],MATCH(Ingredientes[[#This Row],[item]],insumos[item],0)),
IFERROR(
IF(MATCH(Ingredientes[[#This Row],[item]],CaProdutos[Item],0)&gt;0,"Unidades",""),
""
))</f>
        <v/>
      </c>
      <c r="H105" s="1" t="str">
        <f>IFERROR(INDEX(CaProdutos[Un. Por Lote], MATCH(Ingredientes[[#This Row],[Produto]], CaProdutos[Item], 0)), "")</f>
        <v/>
      </c>
      <c r="I1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5">
        <f>Ingredientes[[#This Row],[qtd.]] / 15 * 10</f>
        <v>0</v>
      </c>
      <c r="K105" t="e">
        <f>J105 / INDEX(insumos[quantidade], MATCH(Ingredientes[[#This Row],[item]], insumos[item], 0))</f>
        <v>#N/A</v>
      </c>
    </row>
    <row r="106" spans="4:11">
      <c r="D106" s="1" t="str">
        <f>IFERROR(
INDEX(insumos[ID],MATCH(Ingredientes[[#This Row],[item]],insumos[item],0)),
IFERROR(
INDEX(CaProdutos[ID],MATCH(Ingredientes[[#This Row],[item]],CaProdutos[Item],0)),
""
))</f>
        <v/>
      </c>
      <c r="F106" s="1"/>
      <c r="G106" s="1" t="str">
        <f>IFERROR(
INDEX(insumos[medida],MATCH(Ingredientes[[#This Row],[item]],insumos[item],0)),
IFERROR(
IF(MATCH(Ingredientes[[#This Row],[item]],CaProdutos[Item],0)&gt;0,"Unidades",""),
""
))</f>
        <v/>
      </c>
      <c r="H106" s="1" t="str">
        <f>IFERROR(INDEX(CaProdutos[Un. Por Lote], MATCH(Ingredientes[[#This Row],[Produto]], CaProdutos[Item], 0)), "")</f>
        <v/>
      </c>
      <c r="I1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6">
        <f>Ingredientes[[#This Row],[qtd.]] / 15 * 10</f>
        <v>0</v>
      </c>
      <c r="K106" t="e">
        <f>J106 / INDEX(insumos[quantidade], MATCH(Ingredientes[[#This Row],[item]], insumos[item], 0))</f>
        <v>#N/A</v>
      </c>
    </row>
    <row r="107" spans="4:11">
      <c r="D107" s="1" t="str">
        <f>IFERROR(
INDEX(insumos[ID],MATCH(Ingredientes[[#This Row],[item]],insumos[item],0)),
IFERROR(
INDEX(CaProdutos[ID],MATCH(Ingredientes[[#This Row],[item]],CaProdutos[Item],0)),
""
))</f>
        <v/>
      </c>
      <c r="F107" s="1"/>
      <c r="G107" s="1" t="str">
        <f>IFERROR(
INDEX(insumos[medida],MATCH(Ingredientes[[#This Row],[item]],insumos[item],0)),
IFERROR(
IF(MATCH(Ingredientes[[#This Row],[item]],CaProdutos[Item],0)&gt;0,"Unidades",""),
""
))</f>
        <v/>
      </c>
      <c r="H107" s="1" t="str">
        <f>IFERROR(INDEX(CaProdutos[Un. Por Lote], MATCH(Ingredientes[[#This Row],[Produto]], CaProdutos[Item], 0)), "")</f>
        <v/>
      </c>
      <c r="I1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7">
        <f>Ingredientes[[#This Row],[qtd.]] / 15 * 10</f>
        <v>0</v>
      </c>
      <c r="K107" t="e">
        <f>J107 / INDEX(insumos[quantidade], MATCH(Ingredientes[[#This Row],[item]], insumos[item], 0))</f>
        <v>#N/A</v>
      </c>
    </row>
    <row r="108" spans="4:11">
      <c r="D108" s="1" t="str">
        <f>IFERROR(
INDEX(insumos[ID],MATCH(Ingredientes[[#This Row],[item]],insumos[item],0)),
IFERROR(
INDEX(CaProdutos[ID],MATCH(Ingredientes[[#This Row],[item]],CaProdutos[Item],0)),
""
))</f>
        <v/>
      </c>
      <c r="F108" s="1"/>
      <c r="G108" s="1" t="str">
        <f>IFERROR(
INDEX(insumos[medida],MATCH(Ingredientes[[#This Row],[item]],insumos[item],0)),
IFERROR(
IF(MATCH(Ingredientes[[#This Row],[item]],CaProdutos[Item],0)&gt;0,"Unidades",""),
""
))</f>
        <v/>
      </c>
      <c r="H108" s="1" t="str">
        <f>IFERROR(INDEX(CaProdutos[Un. Por Lote], MATCH(Ingredientes[[#This Row],[Produto]], CaProdutos[Item], 0)), "")</f>
        <v/>
      </c>
      <c r="I1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8">
        <f>Ingredientes[[#This Row],[qtd.]] / 15 * 10</f>
        <v>0</v>
      </c>
      <c r="K108" t="e">
        <f>J108 / INDEX(insumos[quantidade], MATCH(Ingredientes[[#This Row],[item]], insumos[item], 0))</f>
        <v>#N/A</v>
      </c>
    </row>
    <row r="109" spans="4:11">
      <c r="D109" s="1" t="str">
        <f>IFERROR(
INDEX(insumos[ID],MATCH(Ingredientes[[#This Row],[item]],insumos[item],0)),
IFERROR(
INDEX(CaProdutos[ID],MATCH(Ingredientes[[#This Row],[item]],CaProdutos[Item],0)),
""
))</f>
        <v/>
      </c>
      <c r="F109" s="1"/>
      <c r="G109" s="1" t="str">
        <f>IFERROR(
INDEX(insumos[medida],MATCH(Ingredientes[[#This Row],[item]],insumos[item],0)),
IFERROR(
IF(MATCH(Ingredientes[[#This Row],[item]],CaProdutos[Item],0)&gt;0,"Unidades",""),
""
))</f>
        <v/>
      </c>
      <c r="H109" s="1" t="str">
        <f>IFERROR(INDEX(CaProdutos[Un. Por Lote], MATCH(Ingredientes[[#This Row],[Produto]], CaProdutos[Item], 0)), "")</f>
        <v/>
      </c>
      <c r="I1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9">
        <f>Ingredientes[[#This Row],[qtd.]] / 15 * 10</f>
        <v>0</v>
      </c>
      <c r="K109" t="e">
        <f>J109 / INDEX(insumos[quantidade], MATCH(Ingredientes[[#This Row],[item]], insumos[item], 0))</f>
        <v>#N/A</v>
      </c>
    </row>
    <row r="110" spans="4:11">
      <c r="D110" s="1" t="str">
        <f>IFERROR(
INDEX(insumos[ID],MATCH(Ingredientes[[#This Row],[item]],insumos[item],0)),
IFERROR(
INDEX(CaProdutos[ID],MATCH(Ingredientes[[#This Row],[item]],CaProdutos[Item],0)),
""
))</f>
        <v/>
      </c>
      <c r="F110" s="1"/>
      <c r="G110" s="1" t="str">
        <f>IFERROR(
INDEX(insumos[medida],MATCH(Ingredientes[[#This Row],[item]],insumos[item],0)),
IFERROR(
IF(MATCH(Ingredientes[[#This Row],[item]],CaProdutos[Item],0)&gt;0,"Unidades",""),
""
))</f>
        <v/>
      </c>
      <c r="H110" s="1" t="str">
        <f>IFERROR(INDEX(CaProdutos[Un. Por Lote], MATCH(Ingredientes[[#This Row],[Produto]], CaProdutos[Item], 0)), "")</f>
        <v/>
      </c>
      <c r="I1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0">
        <f>Ingredientes[[#This Row],[qtd.]] / 15 * 10</f>
        <v>0</v>
      </c>
      <c r="K110" t="e">
        <f>J110 / INDEX(insumos[quantidade], MATCH(Ingredientes[[#This Row],[item]], insumos[item], 0))</f>
        <v>#N/A</v>
      </c>
    </row>
    <row r="111" spans="4:11">
      <c r="D111" s="1" t="str">
        <f>IFERROR(
INDEX(insumos[ID],MATCH(Ingredientes[[#This Row],[item]],insumos[item],0)),
IFERROR(
INDEX(CaProdutos[ID],MATCH(Ingredientes[[#This Row],[item]],CaProdutos[Item],0)),
""
))</f>
        <v/>
      </c>
      <c r="F111" s="1"/>
      <c r="G111" s="1" t="str">
        <f>IFERROR(
INDEX(insumos[medida],MATCH(Ingredientes[[#This Row],[item]],insumos[item],0)),
IFERROR(
IF(MATCH(Ingredientes[[#This Row],[item]],CaProdutos[Item],0)&gt;0,"Unidades",""),
""
))</f>
        <v/>
      </c>
      <c r="H111" s="1" t="str">
        <f>IFERROR(INDEX(CaProdutos[Un. Por Lote], MATCH(Ingredientes[[#This Row],[Produto]], CaProdutos[Item], 0)), "")</f>
        <v/>
      </c>
      <c r="I1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1">
        <f>Ingredientes[[#This Row],[qtd.]] / 15 * 10</f>
        <v>0</v>
      </c>
      <c r="K111" t="e">
        <f>J111 / INDEX(insumos[quantidade], MATCH(Ingredientes[[#This Row],[item]], insumos[item], 0))</f>
        <v>#N/A</v>
      </c>
    </row>
    <row r="112" spans="4:11">
      <c r="D112" s="1" t="str">
        <f>IFERROR(
INDEX(insumos[ID],MATCH(Ingredientes[[#This Row],[item]],insumos[item],0)),
IFERROR(
INDEX(CaProdutos[ID],MATCH(Ingredientes[[#This Row],[item]],CaProdutos[Item],0)),
""
))</f>
        <v/>
      </c>
      <c r="F112" s="1"/>
      <c r="G112" s="1" t="str">
        <f>IFERROR(
INDEX(insumos[medida],MATCH(Ingredientes[[#This Row],[item]],insumos[item],0)),
IFERROR(
IF(MATCH(Ingredientes[[#This Row],[item]],CaProdutos[Item],0)&gt;0,"Unidades",""),
""
))</f>
        <v/>
      </c>
      <c r="H112" s="1" t="str">
        <f>IFERROR(INDEX(CaProdutos[Un. Por Lote], MATCH(Ingredientes[[#This Row],[Produto]], CaProdutos[Item], 0)), "")</f>
        <v/>
      </c>
      <c r="I1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2">
        <f>Ingredientes[[#This Row],[qtd.]] / 15 * 10</f>
        <v>0</v>
      </c>
      <c r="K112" t="e">
        <f>J112 / INDEX(insumos[quantidade], MATCH(Ingredientes[[#This Row],[item]], insumos[item], 0))</f>
        <v>#N/A</v>
      </c>
    </row>
    <row r="113" spans="4:26">
      <c r="D113" s="1" t="str">
        <f>IFERROR(
INDEX(insumos[ID],MATCH(Ingredientes[[#This Row],[item]],insumos[item],0)),
IFERROR(
INDEX(CaProdutos[ID],MATCH(Ingredientes[[#This Row],[item]],CaProdutos[Item],0)),
""
))</f>
        <v/>
      </c>
      <c r="F113" s="1"/>
      <c r="G113" s="1" t="str">
        <f>IFERROR(
INDEX(insumos[medida],MATCH(Ingredientes[[#This Row],[item]],insumos[item],0)),
IFERROR(
IF(MATCH(Ingredientes[[#This Row],[item]],CaProdutos[Item],0)&gt;0,"Unidades",""),
""
))</f>
        <v/>
      </c>
      <c r="H113" s="1" t="str">
        <f>IFERROR(INDEX(CaProdutos[Un. Por Lote], MATCH(Ingredientes[[#This Row],[Produto]], CaProdutos[Item], 0)), "")</f>
        <v/>
      </c>
      <c r="I1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3">
        <f>Ingredientes[[#This Row],[qtd.]] / 15 * 10</f>
        <v>0</v>
      </c>
      <c r="K113" t="e">
        <f>J113 / INDEX(insumos[quantidade], MATCH(Ingredientes[[#This Row],[item]], insumos[item], 0))</f>
        <v>#N/A</v>
      </c>
    </row>
    <row r="114" spans="4:26">
      <c r="D114" s="1" t="str">
        <f>IFERROR(
INDEX(insumos[ID],MATCH(Ingredientes[[#This Row],[item]],insumos[item],0)),
IFERROR(
INDEX(CaProdutos[ID],MATCH(Ingredientes[[#This Row],[item]],CaProdutos[Item],0)),
""
))</f>
        <v/>
      </c>
      <c r="F114" s="1"/>
      <c r="G114" s="1" t="str">
        <f>IFERROR(
INDEX(insumos[medida],MATCH(Ingredientes[[#This Row],[item]],insumos[item],0)),
IFERROR(
IF(MATCH(Ingredientes[[#This Row],[item]],CaProdutos[Item],0)&gt;0,"Unidades",""),
""
))</f>
        <v/>
      </c>
      <c r="H114" s="1" t="str">
        <f>IFERROR(INDEX(CaProdutos[Un. Por Lote], MATCH(Ingredientes[[#This Row],[Produto]], CaProdutos[Item], 0)), "")</f>
        <v/>
      </c>
      <c r="I1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4">
        <f>Ingredientes[[#This Row],[qtd.]] / 15 * 10</f>
        <v>0</v>
      </c>
      <c r="K114" t="e">
        <f>J114 / INDEX(insumos[quantidade], MATCH(Ingredientes[[#This Row],[item]], insumos[item], 0))</f>
        <v>#N/A</v>
      </c>
    </row>
    <row r="115" spans="4:26">
      <c r="D115" s="1" t="str">
        <f>IFERROR(
INDEX(insumos[ID],MATCH(Ingredientes[[#This Row],[item]],insumos[item],0)),
IFERROR(
INDEX(CaProdutos[ID],MATCH(Ingredientes[[#This Row],[item]],CaProdutos[Item],0)),
""
))</f>
        <v/>
      </c>
      <c r="F115" s="1"/>
      <c r="G115" s="1" t="str">
        <f>IFERROR(
INDEX(insumos[medida],MATCH(Ingredientes[[#This Row],[item]],insumos[item],0)),
IFERROR(
IF(MATCH(Ingredientes[[#This Row],[item]],CaProdutos[Item],0)&gt;0,"Unidades",""),
""
))</f>
        <v/>
      </c>
      <c r="H115" s="1" t="str">
        <f>IFERROR(INDEX(CaProdutos[Un. Por Lote], MATCH(Ingredientes[[#This Row],[Produto]], CaProdutos[Item], 0)), "")</f>
        <v/>
      </c>
      <c r="I1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5">
        <f>Ingredientes[[#This Row],[qtd.]] / 15 * 10</f>
        <v>0</v>
      </c>
      <c r="K115" t="e">
        <f>J115 / INDEX(insumos[quantidade], MATCH(Ingredientes[[#This Row],[item]], insumos[item], 0))</f>
        <v>#N/A</v>
      </c>
      <c r="S115" t="s">
        <v>118</v>
      </c>
      <c r="T115" t="s">
        <v>116</v>
      </c>
      <c r="W115" t="s">
        <v>125</v>
      </c>
      <c r="X115">
        <v>37</v>
      </c>
      <c r="Y115">
        <f>X115 * 15</f>
        <v>555</v>
      </c>
    </row>
    <row r="116" spans="4:26">
      <c r="D116" s="1" t="str">
        <f>IFERROR(
INDEX(insumos[ID],MATCH(Ingredientes[[#This Row],[item]],insumos[item],0)),
IFERROR(
INDEX(CaProdutos[ID],MATCH(Ingredientes[[#This Row],[item]],CaProdutos[Item],0)),
""
))</f>
        <v/>
      </c>
      <c r="F116" s="1"/>
      <c r="G116" s="1" t="str">
        <f>IFERROR(
INDEX(insumos[medida],MATCH(Ingredientes[[#This Row],[item]],insumos[item],0)),
IFERROR(
IF(MATCH(Ingredientes[[#This Row],[item]],CaProdutos[Item],0)&gt;0,"Unidades",""),
""
))</f>
        <v/>
      </c>
      <c r="H116" s="1" t="str">
        <f>IFERROR(INDEX(CaProdutos[Un. Por Lote], MATCH(Ingredientes[[#This Row],[Produto]], CaProdutos[Item], 0)), "")</f>
        <v/>
      </c>
      <c r="I1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6">
        <f>Ingredientes[[#This Row],[qtd.]] / 15 * 10</f>
        <v>0</v>
      </c>
      <c r="K116" t="e">
        <f>J116 / INDEX(insumos[quantidade], MATCH(Ingredientes[[#This Row],[item]], insumos[item], 0))</f>
        <v>#N/A</v>
      </c>
      <c r="T116" t="s">
        <v>117</v>
      </c>
      <c r="W116" t="s">
        <v>126</v>
      </c>
      <c r="X116">
        <v>7.14</v>
      </c>
      <c r="Y116">
        <f t="shared" ref="Y116:Y125" si="0">X116 * 15</f>
        <v>107.1</v>
      </c>
    </row>
    <row r="117" spans="4:26">
      <c r="D117" s="1" t="str">
        <f>IFERROR(
INDEX(insumos[ID],MATCH(Ingredientes[[#This Row],[item]],insumos[item],0)),
IFERROR(
INDEX(CaProdutos[ID],MATCH(Ingredientes[[#This Row],[item]],CaProdutos[Item],0)),
""
))</f>
        <v/>
      </c>
      <c r="F117" s="1"/>
      <c r="G117" s="1" t="str">
        <f>IFERROR(
INDEX(insumos[medida],MATCH(Ingredientes[[#This Row],[item]],insumos[item],0)),
IFERROR(
IF(MATCH(Ingredientes[[#This Row],[item]],CaProdutos[Item],0)&gt;0,"Unidades",""),
""
))</f>
        <v/>
      </c>
      <c r="H117" s="1" t="str">
        <f>IFERROR(INDEX(CaProdutos[Un. Por Lote], MATCH(Ingredientes[[#This Row],[Produto]], CaProdutos[Item], 0)), "")</f>
        <v/>
      </c>
      <c r="I1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7">
        <f>Ingredientes[[#This Row],[qtd.]] / 15 * 10</f>
        <v>0</v>
      </c>
      <c r="K117" t="e">
        <f>J117 / INDEX(insumos[quantidade], MATCH(Ingredientes[[#This Row],[item]], insumos[item], 0))</f>
        <v>#N/A</v>
      </c>
      <c r="T117" t="s">
        <v>130</v>
      </c>
      <c r="W117" t="s">
        <v>127</v>
      </c>
      <c r="X117">
        <v>4.28</v>
      </c>
      <c r="Y117">
        <f t="shared" si="0"/>
        <v>64.2</v>
      </c>
    </row>
    <row r="118" spans="4:26">
      <c r="D118" s="1" t="str">
        <f>IFERROR(
INDEX(insumos[ID],MATCH(Ingredientes[[#This Row],[item]],insumos[item],0)),
IFERROR(
INDEX(CaProdutos[ID],MATCH(Ingredientes[[#This Row],[item]],CaProdutos[Item],0)),
""
))</f>
        <v/>
      </c>
      <c r="F118" s="1"/>
      <c r="G118" s="1" t="str">
        <f>IFERROR(
INDEX(insumos[medida],MATCH(Ingredientes[[#This Row],[item]],insumos[item],0)),
IFERROR(
IF(MATCH(Ingredientes[[#This Row],[item]],CaProdutos[Item],0)&gt;0,"Unidades",""),
""
))</f>
        <v/>
      </c>
      <c r="H118" s="1" t="str">
        <f>IFERROR(INDEX(CaProdutos[Un. Por Lote], MATCH(Ingredientes[[#This Row],[Produto]], CaProdutos[Item], 0)), "")</f>
        <v/>
      </c>
      <c r="I1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8">
        <f>Ingredientes[[#This Row],[qtd.]] / 15 * 10</f>
        <v>0</v>
      </c>
      <c r="K118" t="e">
        <f>J118 / INDEX(insumos[quantidade], MATCH(Ingredientes[[#This Row],[item]], insumos[item], 0))</f>
        <v>#N/A</v>
      </c>
      <c r="T118" t="s">
        <v>119</v>
      </c>
      <c r="W118">
        <v>3</v>
      </c>
      <c r="X118">
        <v>0.86</v>
      </c>
      <c r="Y118">
        <f t="shared" si="0"/>
        <v>12.9</v>
      </c>
      <c r="Z118" s="47">
        <f>Y118+Y119+Y120</f>
        <v>42.9</v>
      </c>
    </row>
    <row r="119" spans="4:26">
      <c r="D119" s="1" t="str">
        <f>IFERROR(
INDEX(insumos[ID],MATCH(Ingredientes[[#This Row],[item]],insumos[item],0)),
IFERROR(
INDEX(CaProdutos[ID],MATCH(Ingredientes[[#This Row],[item]],CaProdutos[Item],0)),
""
))</f>
        <v/>
      </c>
      <c r="F119" s="1"/>
      <c r="G119" s="1" t="str">
        <f>IFERROR(
INDEX(insumos[medida],MATCH(Ingredientes[[#This Row],[item]],insumos[item],0)),
IFERROR(
IF(MATCH(Ingredientes[[#This Row],[item]],CaProdutos[Item],0)&gt;0,"Unidades",""),
""
))</f>
        <v/>
      </c>
      <c r="H119" s="1" t="str">
        <f>IFERROR(INDEX(CaProdutos[Un. Por Lote], MATCH(Ingredientes[[#This Row],[Produto]], CaProdutos[Item], 0)), "")</f>
        <v/>
      </c>
      <c r="I1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9">
        <f>Ingredientes[[#This Row],[qtd.]] / 15 * 10</f>
        <v>0</v>
      </c>
      <c r="K119" t="e">
        <f>J119 / INDEX(insumos[quantidade], MATCH(Ingredientes[[#This Row],[item]], insumos[item], 0))</f>
        <v>#N/A</v>
      </c>
      <c r="T119" t="s">
        <v>120</v>
      </c>
      <c r="X119">
        <v>1</v>
      </c>
      <c r="Y119">
        <f t="shared" si="0"/>
        <v>15</v>
      </c>
      <c r="Z119" s="47"/>
    </row>
    <row r="120" spans="4:26">
      <c r="D120" s="1" t="str">
        <f>IFERROR(
INDEX(insumos[ID],MATCH(Ingredientes[[#This Row],[item]],insumos[item],0)),
IFERROR(
INDEX(CaProdutos[ID],MATCH(Ingredientes[[#This Row],[item]],CaProdutos[Item],0)),
""
))</f>
        <v/>
      </c>
      <c r="F120" s="1"/>
      <c r="G120" s="1" t="str">
        <f>IFERROR(
INDEX(insumos[medida],MATCH(Ingredientes[[#This Row],[item]],insumos[item],0)),
IFERROR(
IF(MATCH(Ingredientes[[#This Row],[item]],CaProdutos[Item],0)&gt;0,"Unidades",""),
""
))</f>
        <v/>
      </c>
      <c r="H120" s="1" t="str">
        <f>IFERROR(INDEX(CaProdutos[Un. Por Lote], MATCH(Ingredientes[[#This Row],[Produto]], CaProdutos[Item], 0)), "")</f>
        <v/>
      </c>
      <c r="I1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0">
        <f>Ingredientes[[#This Row],[qtd.]] / 15 * 10</f>
        <v>0</v>
      </c>
      <c r="K120" t="e">
        <f>J120 / INDEX(insumos[quantidade], MATCH(Ingredientes[[#This Row],[item]], insumos[item], 0))</f>
        <v>#N/A</v>
      </c>
      <c r="T120" t="s">
        <v>128</v>
      </c>
      <c r="X120">
        <v>1</v>
      </c>
      <c r="Y120">
        <f t="shared" si="0"/>
        <v>15</v>
      </c>
      <c r="Z120" s="47"/>
    </row>
    <row r="121" spans="4:26">
      <c r="D121" s="1" t="str">
        <f>IFERROR(
INDEX(insumos[ID],MATCH(Ingredientes[[#This Row],[item]],insumos[item],0)),
IFERROR(
INDEX(CaProdutos[ID],MATCH(Ingredientes[[#This Row],[item]],CaProdutos[Item],0)),
""
))</f>
        <v/>
      </c>
      <c r="F121" s="1"/>
      <c r="G121" s="1" t="str">
        <f>IFERROR(
INDEX(insumos[medida],MATCH(Ingredientes[[#This Row],[item]],insumos[item],0)),
IFERROR(
IF(MATCH(Ingredientes[[#This Row],[item]],CaProdutos[Item],0)&gt;0,"Unidades",""),
""
))</f>
        <v/>
      </c>
      <c r="H121" s="1" t="str">
        <f>IFERROR(INDEX(CaProdutos[Un. Por Lote], MATCH(Ingredientes[[#This Row],[Produto]], CaProdutos[Item], 0)), "")</f>
        <v/>
      </c>
      <c r="I1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1">
        <f>Ingredientes[[#This Row],[qtd.]] / 15 * 10</f>
        <v>0</v>
      </c>
      <c r="K121" t="e">
        <f>J121 / INDEX(insumos[quantidade], MATCH(Ingredientes[[#This Row],[item]], insumos[item], 0))</f>
        <v>#N/A</v>
      </c>
      <c r="T121" t="s">
        <v>121</v>
      </c>
      <c r="W121">
        <v>3</v>
      </c>
      <c r="X121">
        <v>0.86</v>
      </c>
      <c r="Y121">
        <f t="shared" si="0"/>
        <v>12.9</v>
      </c>
      <c r="Z121" s="48">
        <f>Y121+Y122</f>
        <v>17.850000000000001</v>
      </c>
    </row>
    <row r="122" spans="4:26">
      <c r="D122" s="1" t="str">
        <f>IFERROR(
INDEX(insumos[ID],MATCH(Ingredientes[[#This Row],[item]],insumos[item],0)),
IFERROR(
INDEX(CaProdutos[ID],MATCH(Ingredientes[[#This Row],[item]],CaProdutos[Item],0)),
""
))</f>
        <v/>
      </c>
      <c r="F122" s="1"/>
      <c r="G122" s="1" t="str">
        <f>IFERROR(
INDEX(insumos[medida],MATCH(Ingredientes[[#This Row],[item]],insumos[item],0)),
IFERROR(
IF(MATCH(Ingredientes[[#This Row],[item]],CaProdutos[Item],0)&gt;0,"Unidades",""),
""
))</f>
        <v/>
      </c>
      <c r="H122" s="1" t="str">
        <f>IFERROR(INDEX(CaProdutos[Un. Por Lote], MATCH(Ingredientes[[#This Row],[Produto]], CaProdutos[Item], 0)), "")</f>
        <v/>
      </c>
      <c r="I1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2">
        <f>Ingredientes[[#This Row],[qtd.]] / 15 * 10</f>
        <v>0</v>
      </c>
      <c r="K122" t="e">
        <f>J122 / INDEX(insumos[quantidade], MATCH(Ingredientes[[#This Row],[item]], insumos[item], 0))</f>
        <v>#N/A</v>
      </c>
      <c r="T122" t="s">
        <v>122</v>
      </c>
      <c r="X122">
        <v>0.33</v>
      </c>
      <c r="Y122">
        <f t="shared" si="0"/>
        <v>4.95</v>
      </c>
      <c r="Z122" s="48"/>
    </row>
    <row r="123" spans="4:26">
      <c r="D123" s="1" t="str">
        <f>IFERROR(
INDEX(insumos[ID],MATCH(Ingredientes[[#This Row],[item]],insumos[item],0)),
IFERROR(
INDEX(CaProdutos[ID],MATCH(Ingredientes[[#This Row],[item]],CaProdutos[Item],0)),
""
))</f>
        <v/>
      </c>
      <c r="F123" s="1"/>
      <c r="G123" s="1" t="str">
        <f>IFERROR(
INDEX(insumos[medida],MATCH(Ingredientes[[#This Row],[item]],insumos[item],0)),
IFERROR(
IF(MATCH(Ingredientes[[#This Row],[item]],CaProdutos[Item],0)&gt;0,"Unidades",""),
""
))</f>
        <v/>
      </c>
      <c r="H123" s="1" t="str">
        <f>IFERROR(INDEX(CaProdutos[Un. Por Lote], MATCH(Ingredientes[[#This Row],[Produto]], CaProdutos[Item], 0)), "")</f>
        <v/>
      </c>
      <c r="I1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3">
        <f>Ingredientes[[#This Row],[qtd.]] / 15 * 10</f>
        <v>0</v>
      </c>
      <c r="K123" t="e">
        <f>J123 / INDEX(insumos[quantidade], MATCH(Ingredientes[[#This Row],[item]], insumos[item], 0))</f>
        <v>#N/A</v>
      </c>
      <c r="T123" t="s">
        <v>129</v>
      </c>
      <c r="X123">
        <v>17.14</v>
      </c>
      <c r="Y123">
        <f t="shared" si="0"/>
        <v>257.10000000000002</v>
      </c>
    </row>
    <row r="124" spans="4:26">
      <c r="D124" s="1" t="str">
        <f>IFERROR(
INDEX(insumos[ID],MATCH(Ingredientes[[#This Row],[item]],insumos[item],0)),
IFERROR(
INDEX(CaProdutos[ID],MATCH(Ingredientes[[#This Row],[item]],CaProdutos[Item],0)),
""
))</f>
        <v/>
      </c>
      <c r="F124" s="1"/>
      <c r="G124" s="1" t="str">
        <f>IFERROR(
INDEX(insumos[medida],MATCH(Ingredientes[[#This Row],[item]],insumos[item],0)),
IFERROR(
IF(MATCH(Ingredientes[[#This Row],[item]],CaProdutos[Item],0)&gt;0,"Unidades",""),
""
))</f>
        <v/>
      </c>
      <c r="H124" s="1" t="str">
        <f>IFERROR(INDEX(CaProdutos[Un. Por Lote], MATCH(Ingredientes[[#This Row],[Produto]], CaProdutos[Item], 0)), "")</f>
        <v/>
      </c>
      <c r="I1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4">
        <f>Ingredientes[[#This Row],[qtd.]] / 15 * 10</f>
        <v>0</v>
      </c>
      <c r="K124" t="e">
        <f>J124 / INDEX(insumos[quantidade], MATCH(Ingredientes[[#This Row],[item]], insumos[item], 0))</f>
        <v>#N/A</v>
      </c>
      <c r="T124" t="s">
        <v>123</v>
      </c>
      <c r="X124">
        <v>0.25</v>
      </c>
      <c r="Y124">
        <f t="shared" si="0"/>
        <v>3.75</v>
      </c>
    </row>
    <row r="125" spans="4:26">
      <c r="D125" s="1" t="str">
        <f>IFERROR(
INDEX(insumos[ID],MATCH(Ingredientes[[#This Row],[item]],insumos[item],0)),
IFERROR(
INDEX(CaProdutos[ID],MATCH(Ingredientes[[#This Row],[item]],CaProdutos[Item],0)),
""
))</f>
        <v/>
      </c>
      <c r="F125" s="1"/>
      <c r="G125" s="1" t="str">
        <f>IFERROR(
INDEX(insumos[medida],MATCH(Ingredientes[[#This Row],[item]],insumos[item],0)),
IFERROR(
IF(MATCH(Ingredientes[[#This Row],[item]],CaProdutos[Item],0)&gt;0,"Unidades",""),
""
))</f>
        <v/>
      </c>
      <c r="H125" s="1" t="str">
        <f>IFERROR(INDEX(CaProdutos[Un. Por Lote], MATCH(Ingredientes[[#This Row],[Produto]], CaProdutos[Item], 0)), "")</f>
        <v/>
      </c>
      <c r="I1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5">
        <f>Ingredientes[[#This Row],[qtd.]] / 15 * 10</f>
        <v>0</v>
      </c>
      <c r="K125" t="e">
        <f>J125 / INDEX(insumos[quantidade], MATCH(Ingredientes[[#This Row],[item]], insumos[item], 0))</f>
        <v>#N/A</v>
      </c>
      <c r="T125" t="s">
        <v>124</v>
      </c>
      <c r="X125">
        <v>17.14</v>
      </c>
      <c r="Y125">
        <f t="shared" si="0"/>
        <v>257.10000000000002</v>
      </c>
    </row>
    <row r="126" spans="4:26">
      <c r="D126" s="1" t="str">
        <f>IFERROR(
INDEX(insumos[ID],MATCH(Ingredientes[[#This Row],[item]],insumos[item],0)),
IFERROR(
INDEX(CaProdutos[ID],MATCH(Ingredientes[[#This Row],[item]],CaProdutos[Item],0)),
""
))</f>
        <v/>
      </c>
      <c r="F126" s="1"/>
      <c r="G126" s="1" t="str">
        <f>IFERROR(
INDEX(insumos[medida],MATCH(Ingredientes[[#This Row],[item]],insumos[item],0)),
IFERROR(
IF(MATCH(Ingredientes[[#This Row],[item]],CaProdutos[Item],0)&gt;0,"Unidades",""),
""
))</f>
        <v/>
      </c>
      <c r="H126" s="1" t="str">
        <f>IFERROR(INDEX(CaProdutos[Un. Por Lote], MATCH(Ingredientes[[#This Row],[Produto]], CaProdutos[Item], 0)), "")</f>
        <v/>
      </c>
      <c r="I1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6">
        <f>Ingredientes[[#This Row],[qtd.]] / 15 * 10</f>
        <v>0</v>
      </c>
      <c r="K126" t="e">
        <f>J126 / INDEX(insumos[quantidade], MATCH(Ingredientes[[#This Row],[item]], insumos[item], 0))</f>
        <v>#N/A</v>
      </c>
    </row>
    <row r="127" spans="4:26">
      <c r="D127" s="1" t="str">
        <f>IFERROR(
INDEX(insumos[ID],MATCH(Ingredientes[[#This Row],[item]],insumos[item],0)),
IFERROR(
INDEX(CaProdutos[ID],MATCH(Ingredientes[[#This Row],[item]],CaProdutos[Item],0)),
""
))</f>
        <v/>
      </c>
      <c r="F127" s="1"/>
      <c r="G127" s="1" t="str">
        <f>IFERROR(
INDEX(insumos[medida],MATCH(Ingredientes[[#This Row],[item]],insumos[item],0)),
IFERROR(
IF(MATCH(Ingredientes[[#This Row],[item]],CaProdutos[Item],0)&gt;0,"Unidades",""),
""
))</f>
        <v/>
      </c>
      <c r="H127" s="1" t="str">
        <f>IFERROR(INDEX(CaProdutos[Un. Por Lote], MATCH(Ingredientes[[#This Row],[Produto]], CaProdutos[Item], 0)), "")</f>
        <v/>
      </c>
      <c r="I1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7">
        <f>Ingredientes[[#This Row],[qtd.]] / 15 * 10</f>
        <v>0</v>
      </c>
      <c r="K127" t="e">
        <f>J127 / INDEX(insumos[quantidade], MATCH(Ingredientes[[#This Row],[item]], insumos[item], 0))</f>
        <v>#N/A</v>
      </c>
    </row>
    <row r="128" spans="4:26">
      <c r="D128" s="1" t="str">
        <f>IFERROR(
INDEX(insumos[ID],MATCH(Ingredientes[[#This Row],[item]],insumos[item],0)),
IFERROR(
INDEX(CaProdutos[ID],MATCH(Ingredientes[[#This Row],[item]],CaProdutos[Item],0)),
""
))</f>
        <v/>
      </c>
      <c r="F128" s="1"/>
      <c r="G128" s="1" t="str">
        <f>IFERROR(
INDEX(insumos[medida],MATCH(Ingredientes[[#This Row],[item]],insumos[item],0)),
IFERROR(
IF(MATCH(Ingredientes[[#This Row],[item]],CaProdutos[Item],0)&gt;0,"Unidades",""),
""
))</f>
        <v/>
      </c>
      <c r="H128" s="1" t="str">
        <f>IFERROR(INDEX(CaProdutos[Un. Por Lote], MATCH(Ingredientes[[#This Row],[Produto]], CaProdutos[Item], 0)), "")</f>
        <v/>
      </c>
      <c r="I1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8">
        <f>Ingredientes[[#This Row],[qtd.]] / 15 * 10</f>
        <v>0</v>
      </c>
      <c r="K128" t="e">
        <f>J128 / INDEX(insumos[quantidade], MATCH(Ingredientes[[#This Row],[item]], insumos[item], 0))</f>
        <v>#N/A</v>
      </c>
    </row>
    <row r="129" spans="4:11">
      <c r="D129" s="1" t="str">
        <f>IFERROR(
INDEX(insumos[ID],MATCH(Ingredientes[[#This Row],[item]],insumos[item],0)),
IFERROR(
INDEX(CaProdutos[ID],MATCH(Ingredientes[[#This Row],[item]],CaProdutos[Item],0)),
""
))</f>
        <v/>
      </c>
      <c r="F129" s="1"/>
      <c r="G129" s="1" t="str">
        <f>IFERROR(
INDEX(insumos[medida],MATCH(Ingredientes[[#This Row],[item]],insumos[item],0)),
IFERROR(
IF(MATCH(Ingredientes[[#This Row],[item]],CaProdutos[Item],0)&gt;0,"Unidades",""),
""
))</f>
        <v/>
      </c>
      <c r="H129" s="1" t="str">
        <f>IFERROR(INDEX(CaProdutos[Un. Por Lote], MATCH(Ingredientes[[#This Row],[Produto]], CaProdutos[Item], 0)), "")</f>
        <v/>
      </c>
      <c r="I1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9">
        <f>Ingredientes[[#This Row],[qtd.]] / 15 * 10</f>
        <v>0</v>
      </c>
      <c r="K129" t="e">
        <f>J129 / INDEX(insumos[quantidade], MATCH(Ingredientes[[#This Row],[item]], insumos[item], 0))</f>
        <v>#N/A</v>
      </c>
    </row>
    <row r="130" spans="4:11">
      <c r="D130" s="1" t="str">
        <f>IFERROR(
INDEX(insumos[ID],MATCH(Ingredientes[[#This Row],[item]],insumos[item],0)),
IFERROR(
INDEX(CaProdutos[ID],MATCH(Ingredientes[[#This Row],[item]],CaProdutos[Item],0)),
""
))</f>
        <v/>
      </c>
      <c r="F130" s="1"/>
      <c r="G130" s="1" t="str">
        <f>IFERROR(
INDEX(insumos[medida],MATCH(Ingredientes[[#This Row],[item]],insumos[item],0)),
IFERROR(
IF(MATCH(Ingredientes[[#This Row],[item]],CaProdutos[Item],0)&gt;0,"Unidades",""),
""
))</f>
        <v/>
      </c>
      <c r="H130" s="1" t="str">
        <f>IFERROR(INDEX(CaProdutos[Un. Por Lote], MATCH(Ingredientes[[#This Row],[Produto]], CaProdutos[Item], 0)), "")</f>
        <v/>
      </c>
      <c r="I1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1" spans="4:11">
      <c r="D131" s="1" t="str">
        <f>IFERROR(
INDEX(insumos[ID],MATCH(Ingredientes[[#This Row],[item]],insumos[item],0)),
IFERROR(
INDEX(CaProdutos[ID],MATCH(Ingredientes[[#This Row],[item]],CaProdutos[Item],0)),
""
))</f>
        <v/>
      </c>
      <c r="F131" s="1"/>
      <c r="G131" s="1" t="str">
        <f>IFERROR(
INDEX(insumos[medida],MATCH(Ingredientes[[#This Row],[item]],insumos[item],0)),
IFERROR(
IF(MATCH(Ingredientes[[#This Row],[item]],CaProdutos[Item],0)&gt;0,"Unidades",""),
""
))</f>
        <v/>
      </c>
      <c r="H131" s="1" t="str">
        <f>IFERROR(INDEX(CaProdutos[Un. Por Lote], MATCH(Ingredientes[[#This Row],[Produto]], CaProdutos[Item], 0)), "")</f>
        <v/>
      </c>
      <c r="I1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2" spans="4:11">
      <c r="D132" s="1" t="str">
        <f>IFERROR(
INDEX(insumos[ID],MATCH(Ingredientes[[#This Row],[item]],insumos[item],0)),
IFERROR(
INDEX(CaProdutos[ID],MATCH(Ingredientes[[#This Row],[item]],CaProdutos[Item],0)),
""
))</f>
        <v/>
      </c>
      <c r="F132" s="1"/>
      <c r="G132" s="1" t="str">
        <f>IFERROR(
INDEX(insumos[medida],MATCH(Ingredientes[[#This Row],[item]],insumos[item],0)),
IFERROR(
IF(MATCH(Ingredientes[[#This Row],[item]],CaProdutos[Item],0)&gt;0,"Unidades",""),
""
))</f>
        <v/>
      </c>
      <c r="H132" s="1" t="str">
        <f>IFERROR(INDEX(CaProdutos[Un. Por Lote], MATCH(Ingredientes[[#This Row],[Produto]], CaProdutos[Item], 0)), "")</f>
        <v/>
      </c>
      <c r="I1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3" spans="4:11">
      <c r="D133" s="1" t="str">
        <f>IFERROR(
INDEX(insumos[ID],MATCH(Ingredientes[[#This Row],[item]],insumos[item],0)),
IFERROR(
INDEX(CaProdutos[ID],MATCH(Ingredientes[[#This Row],[item]],CaProdutos[Item],0)),
""
))</f>
        <v/>
      </c>
      <c r="F133" s="1"/>
      <c r="G133" s="1" t="str">
        <f>IFERROR(
INDEX(insumos[medida],MATCH(Ingredientes[[#This Row],[item]],insumos[item],0)),
IFERROR(
IF(MATCH(Ingredientes[[#This Row],[item]],CaProdutos[Item],0)&gt;0,"Unidades",""),
""
))</f>
        <v/>
      </c>
      <c r="H133" s="1" t="str">
        <f>IFERROR(INDEX(CaProdutos[Un. Por Lote], MATCH(Ingredientes[[#This Row],[Produto]], CaProdutos[Item], 0)), "")</f>
        <v/>
      </c>
      <c r="I1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4" spans="4:11">
      <c r="D134" s="1" t="str">
        <f>IFERROR(
INDEX(insumos[ID],MATCH(Ingredientes[[#This Row],[item]],insumos[item],0)),
IFERROR(
INDEX(CaProdutos[ID],MATCH(Ingredientes[[#This Row],[item]],CaProdutos[Item],0)),
""
))</f>
        <v/>
      </c>
      <c r="F134" s="1"/>
      <c r="G134" s="1" t="str">
        <f>IFERROR(
INDEX(insumos[medida],MATCH(Ingredientes[[#This Row],[item]],insumos[item],0)),
IFERROR(
IF(MATCH(Ingredientes[[#This Row],[item]],CaProdutos[Item],0)&gt;0,"Unidades",""),
""
))</f>
        <v/>
      </c>
      <c r="H134" s="1" t="str">
        <f>IFERROR(INDEX(CaProdutos[Un. Por Lote], MATCH(Ingredientes[[#This Row],[Produto]], CaProdutos[Item], 0)), "")</f>
        <v/>
      </c>
      <c r="I1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5" spans="4:11">
      <c r="D135" s="1" t="str">
        <f>IFERROR(
INDEX(insumos[ID],MATCH(Ingredientes[[#This Row],[item]],insumos[item],0)),
IFERROR(
INDEX(CaProdutos[ID],MATCH(Ingredientes[[#This Row],[item]],CaProdutos[Item],0)),
""
))</f>
        <v/>
      </c>
      <c r="F135" s="1"/>
      <c r="G135" s="1" t="str">
        <f>IFERROR(
INDEX(insumos[medida],MATCH(Ingredientes[[#This Row],[item]],insumos[item],0)),
IFERROR(
IF(MATCH(Ingredientes[[#This Row],[item]],CaProdutos[Item],0)&gt;0,"Unidades",""),
""
))</f>
        <v/>
      </c>
      <c r="H135" s="1" t="str">
        <f>IFERROR(INDEX(CaProdutos[Un. Por Lote], MATCH(Ingredientes[[#This Row],[Produto]], CaProdutos[Item], 0)), "")</f>
        <v/>
      </c>
      <c r="I1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6" spans="4:11">
      <c r="D136" s="1" t="str">
        <f>IFERROR(
INDEX(insumos[ID],MATCH(Ingredientes[[#This Row],[item]],insumos[item],0)),
IFERROR(
INDEX(CaProdutos[ID],MATCH(Ingredientes[[#This Row],[item]],CaProdutos[Item],0)),
""
))</f>
        <v/>
      </c>
      <c r="F136" s="1"/>
      <c r="G136" s="1" t="str">
        <f>IFERROR(
INDEX(insumos[medida],MATCH(Ingredientes[[#This Row],[item]],insumos[item],0)),
IFERROR(
IF(MATCH(Ingredientes[[#This Row],[item]],CaProdutos[Item],0)&gt;0,"Unidades",""),
""
))</f>
        <v/>
      </c>
      <c r="H136" s="1" t="str">
        <f>IFERROR(INDEX(CaProdutos[Un. Por Lote], MATCH(Ingredientes[[#This Row],[Produto]], CaProdutos[Item], 0)), "")</f>
        <v/>
      </c>
      <c r="I1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7" spans="4:11">
      <c r="D137" s="1" t="str">
        <f>IFERROR(
INDEX(insumos[ID],MATCH(Ingredientes[[#This Row],[item]],insumos[item],0)),
IFERROR(
INDEX(CaProdutos[ID],MATCH(Ingredientes[[#This Row],[item]],CaProdutos[Item],0)),
""
))</f>
        <v/>
      </c>
      <c r="F137" s="1"/>
      <c r="G137" s="1" t="str">
        <f>IFERROR(
INDEX(insumos[medida],MATCH(Ingredientes[[#This Row],[item]],insumos[item],0)),
IFERROR(
IF(MATCH(Ingredientes[[#This Row],[item]],CaProdutos[Item],0)&gt;0,"Unidades",""),
""
))</f>
        <v/>
      </c>
      <c r="H137" s="1" t="str">
        <f>IFERROR(INDEX(CaProdutos[Un. Por Lote], MATCH(Ingredientes[[#This Row],[Produto]], CaProdutos[Item], 0)), "")</f>
        <v/>
      </c>
      <c r="I1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8" spans="4:11">
      <c r="D138" s="1" t="str">
        <f>IFERROR(
INDEX(insumos[ID],MATCH(Ingredientes[[#This Row],[item]],insumos[item],0)),
IFERROR(
INDEX(CaProdutos[ID],MATCH(Ingredientes[[#This Row],[item]],CaProdutos[Item],0)),
""
))</f>
        <v/>
      </c>
      <c r="F138" s="1"/>
      <c r="G138" s="1" t="str">
        <f>IFERROR(
INDEX(insumos[medida],MATCH(Ingredientes[[#This Row],[item]],insumos[item],0)),
IFERROR(
IF(MATCH(Ingredientes[[#This Row],[item]],CaProdutos[Item],0)&gt;0,"Unidades",""),
""
))</f>
        <v/>
      </c>
      <c r="H138" s="1" t="str">
        <f>IFERROR(INDEX(CaProdutos[Un. Por Lote], MATCH(Ingredientes[[#This Row],[Produto]], CaProdutos[Item], 0)), "")</f>
        <v/>
      </c>
      <c r="I1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9" spans="4:11">
      <c r="D139" s="1" t="str">
        <f>IFERROR(
INDEX(insumos[ID],MATCH(Ingredientes[[#This Row],[item]],insumos[item],0)),
IFERROR(
INDEX(CaProdutos[ID],MATCH(Ingredientes[[#This Row],[item]],CaProdutos[Item],0)),
""
))</f>
        <v/>
      </c>
      <c r="F139" s="1"/>
      <c r="G139" s="1" t="str">
        <f>IFERROR(
INDEX(insumos[medida],MATCH(Ingredientes[[#This Row],[item]],insumos[item],0)),
IFERROR(
IF(MATCH(Ingredientes[[#This Row],[item]],CaProdutos[Item],0)&gt;0,"Unidades",""),
""
))</f>
        <v/>
      </c>
      <c r="H139" s="1" t="str">
        <f>IFERROR(INDEX(CaProdutos[Un. Por Lote], MATCH(Ingredientes[[#This Row],[Produto]], CaProdutos[Item], 0)), "")</f>
        <v/>
      </c>
      <c r="I1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0" spans="4:11">
      <c r="D140" s="1" t="str">
        <f>IFERROR(
INDEX(insumos[ID],MATCH(Ingredientes[[#This Row],[item]],insumos[item],0)),
IFERROR(
INDEX(CaProdutos[ID],MATCH(Ingredientes[[#This Row],[item]],CaProdutos[Item],0)),
""
))</f>
        <v/>
      </c>
      <c r="F140" s="1"/>
      <c r="G140" s="1" t="str">
        <f>IFERROR(
INDEX(insumos[medida],MATCH(Ingredientes[[#This Row],[item]],insumos[item],0)),
IFERROR(
IF(MATCH(Ingredientes[[#This Row],[item]],CaProdutos[Item],0)&gt;0,"Unidades",""),
""
))</f>
        <v/>
      </c>
      <c r="H140" s="1" t="str">
        <f>IFERROR(INDEX(CaProdutos[Un. Por Lote], MATCH(Ingredientes[[#This Row],[Produto]], CaProdutos[Item], 0)), "")</f>
        <v/>
      </c>
      <c r="I1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1" spans="4:11">
      <c r="D141" s="1" t="str">
        <f>IFERROR(
INDEX(insumos[ID],MATCH(Ingredientes[[#This Row],[item]],insumos[item],0)),
IFERROR(
INDEX(CaProdutos[ID],MATCH(Ingredientes[[#This Row],[item]],CaProdutos[Item],0)),
""
))</f>
        <v/>
      </c>
      <c r="F141" s="1"/>
      <c r="G141" s="1" t="str">
        <f>IFERROR(
INDEX(insumos[medida],MATCH(Ingredientes[[#This Row],[item]],insumos[item],0)),
IFERROR(
IF(MATCH(Ingredientes[[#This Row],[item]],CaProdutos[Item],0)&gt;0,"Unidades",""),
""
))</f>
        <v/>
      </c>
      <c r="H141" s="1" t="str">
        <f>IFERROR(INDEX(CaProdutos[Un. Por Lote], MATCH(Ingredientes[[#This Row],[Produto]], CaProdutos[Item], 0)), "")</f>
        <v/>
      </c>
      <c r="I1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2" spans="4:11">
      <c r="D142" s="1" t="str">
        <f>IFERROR(
INDEX(insumos[ID],MATCH(Ingredientes[[#This Row],[item]],insumos[item],0)),
IFERROR(
INDEX(CaProdutos[ID],MATCH(Ingredientes[[#This Row],[item]],CaProdutos[Item],0)),
""
))</f>
        <v/>
      </c>
      <c r="F142" s="1"/>
      <c r="G142" s="1" t="str">
        <f>IFERROR(
INDEX(insumos[medida],MATCH(Ingredientes[[#This Row],[item]],insumos[item],0)),
IFERROR(
IF(MATCH(Ingredientes[[#This Row],[item]],CaProdutos[Item],0)&gt;0,"Unidades",""),
""
))</f>
        <v/>
      </c>
      <c r="H142" s="1" t="str">
        <f>IFERROR(INDEX(CaProdutos[Un. Por Lote], MATCH(Ingredientes[[#This Row],[Produto]], CaProdutos[Item], 0)), "")</f>
        <v/>
      </c>
      <c r="I1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3" spans="4:11">
      <c r="D143" s="1" t="str">
        <f>IFERROR(
INDEX(insumos[ID],MATCH(Ingredientes[[#This Row],[item]],insumos[item],0)),
IFERROR(
INDEX(CaProdutos[ID],MATCH(Ingredientes[[#This Row],[item]],CaProdutos[Item],0)),
""
))</f>
        <v/>
      </c>
      <c r="F143" s="1"/>
      <c r="G143" s="1" t="str">
        <f>IFERROR(
INDEX(insumos[medida],MATCH(Ingredientes[[#This Row],[item]],insumos[item],0)),
IFERROR(
IF(MATCH(Ingredientes[[#This Row],[item]],CaProdutos[Item],0)&gt;0,"Unidades",""),
""
))</f>
        <v/>
      </c>
      <c r="H143" s="1" t="str">
        <f>IFERROR(INDEX(CaProdutos[Un. Por Lote], MATCH(Ingredientes[[#This Row],[Produto]], CaProdutos[Item], 0)), "")</f>
        <v/>
      </c>
      <c r="I1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4" spans="4:11">
      <c r="D144" s="1" t="str">
        <f>IFERROR(
INDEX(insumos[ID],MATCH(Ingredientes[[#This Row],[item]],insumos[item],0)),
IFERROR(
INDEX(CaProdutos[ID],MATCH(Ingredientes[[#This Row],[item]],CaProdutos[Item],0)),
""
))</f>
        <v/>
      </c>
      <c r="F144" s="1"/>
      <c r="G144" s="1" t="str">
        <f>IFERROR(
INDEX(insumos[medida],MATCH(Ingredientes[[#This Row],[item]],insumos[item],0)),
IFERROR(
IF(MATCH(Ingredientes[[#This Row],[item]],CaProdutos[Item],0)&gt;0,"Unidades",""),
""
))</f>
        <v/>
      </c>
      <c r="H144" s="1" t="str">
        <f>IFERROR(INDEX(CaProdutos[Un. Por Lote], MATCH(Ingredientes[[#This Row],[Produto]], CaProdutos[Item], 0)), "")</f>
        <v/>
      </c>
      <c r="I1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5" spans="4:9">
      <c r="D145" s="1" t="str">
        <f>IFERROR(
INDEX(insumos[ID],MATCH(Ingredientes[[#This Row],[item]],insumos[item],0)),
IFERROR(
INDEX(CaProdutos[ID],MATCH(Ingredientes[[#This Row],[item]],CaProdutos[Item],0)),
""
))</f>
        <v/>
      </c>
      <c r="F145" s="1"/>
      <c r="G145" s="1" t="str">
        <f>IFERROR(
INDEX(insumos[medida],MATCH(Ingredientes[[#This Row],[item]],insumos[item],0)),
IFERROR(
IF(MATCH(Ingredientes[[#This Row],[item]],CaProdutos[Item],0)&gt;0,"Unidades",""),
""
))</f>
        <v/>
      </c>
      <c r="H145" s="1" t="str">
        <f>IFERROR(INDEX(CaProdutos[Un. Por Lote], MATCH(Ingredientes[[#This Row],[Produto]], CaProdutos[Item], 0)), "")</f>
        <v/>
      </c>
      <c r="I1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6" spans="4:9">
      <c r="D146" s="1" t="str">
        <f>IFERROR(
INDEX(insumos[ID],MATCH(Ingredientes[[#This Row],[item]],insumos[item],0)),
IFERROR(
INDEX(CaProdutos[ID],MATCH(Ingredientes[[#This Row],[item]],CaProdutos[Item],0)),
""
))</f>
        <v/>
      </c>
      <c r="F146" s="1"/>
      <c r="G146" s="1" t="str">
        <f>IFERROR(
INDEX(insumos[medida],MATCH(Ingredientes[[#This Row],[item]],insumos[item],0)),
IFERROR(
IF(MATCH(Ingredientes[[#This Row],[item]],CaProdutos[Item],0)&gt;0,"Unidades",""),
""
))</f>
        <v/>
      </c>
      <c r="H146" s="1" t="str">
        <f>IFERROR(INDEX(CaProdutos[Un. Por Lote], MATCH(Ingredientes[[#This Row],[Produto]], CaProdutos[Item], 0)), "")</f>
        <v/>
      </c>
      <c r="I1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7" spans="4:9">
      <c r="D147" s="1" t="str">
        <f>IFERROR(
INDEX(insumos[ID],MATCH(Ingredientes[[#This Row],[item]],insumos[item],0)),
IFERROR(
INDEX(CaProdutos[ID],MATCH(Ingredientes[[#This Row],[item]],CaProdutos[Item],0)),
""
))</f>
        <v/>
      </c>
      <c r="F147" s="1"/>
      <c r="G147" s="1" t="str">
        <f>IFERROR(
INDEX(insumos[medida],MATCH(Ingredientes[[#This Row],[item]],insumos[item],0)),
IFERROR(
IF(MATCH(Ingredientes[[#This Row],[item]],CaProdutos[Item],0)&gt;0,"Unidades",""),
""
))</f>
        <v/>
      </c>
      <c r="H147" s="1" t="str">
        <f>IFERROR(INDEX(CaProdutos[Un. Por Lote], MATCH(Ingredientes[[#This Row],[Produto]], CaProdutos[Item], 0)), "")</f>
        <v/>
      </c>
      <c r="I1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8" spans="4:9">
      <c r="D148" s="1" t="str">
        <f>IFERROR(
INDEX(insumos[ID],MATCH(Ingredientes[[#This Row],[item]],insumos[item],0)),
IFERROR(
INDEX(CaProdutos[ID],MATCH(Ingredientes[[#This Row],[item]],CaProdutos[Item],0)),
""
))</f>
        <v/>
      </c>
      <c r="F148" s="1"/>
      <c r="G148" s="1" t="str">
        <f>IFERROR(
INDEX(insumos[medida],MATCH(Ingredientes[[#This Row],[item]],insumos[item],0)),
IFERROR(
IF(MATCH(Ingredientes[[#This Row],[item]],CaProdutos[Item],0)&gt;0,"Unidades",""),
""
))</f>
        <v/>
      </c>
      <c r="H148" s="1" t="str">
        <f>IFERROR(INDEX(CaProdutos[Un. Por Lote], MATCH(Ingredientes[[#This Row],[Produto]], CaProdutos[Item], 0)), "")</f>
        <v/>
      </c>
      <c r="I1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9" spans="4:9">
      <c r="D149" s="1" t="str">
        <f>IFERROR(
INDEX(insumos[ID],MATCH(Ingredientes[[#This Row],[item]],insumos[item],0)),
IFERROR(
INDEX(CaProdutos[ID],MATCH(Ingredientes[[#This Row],[item]],CaProdutos[Item],0)),
""
))</f>
        <v/>
      </c>
      <c r="F149" s="1"/>
      <c r="G149" s="1" t="str">
        <f>IFERROR(
INDEX(insumos[medida],MATCH(Ingredientes[[#This Row],[item]],insumos[item],0)),
IFERROR(
IF(MATCH(Ingredientes[[#This Row],[item]],CaProdutos[Item],0)&gt;0,"Unidades",""),
""
))</f>
        <v/>
      </c>
      <c r="H149" s="1" t="str">
        <f>IFERROR(INDEX(CaProdutos[Un. Por Lote], MATCH(Ingredientes[[#This Row],[Produto]], CaProdutos[Item], 0)), "")</f>
        <v/>
      </c>
      <c r="I1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0" spans="4:9">
      <c r="D150" s="1" t="str">
        <f>IFERROR(
INDEX(insumos[ID],MATCH(Ingredientes[[#This Row],[item]],insumos[item],0)),
IFERROR(
INDEX(CaProdutos[ID],MATCH(Ingredientes[[#This Row],[item]],CaProdutos[Item],0)),
""
))</f>
        <v/>
      </c>
      <c r="F150" s="1"/>
      <c r="G150" s="1" t="str">
        <f>IFERROR(
INDEX(insumos[medida],MATCH(Ingredientes[[#This Row],[item]],insumos[item],0)),
IFERROR(
IF(MATCH(Ingredientes[[#This Row],[item]],CaProdutos[Item],0)&gt;0,"Unidades",""),
""
))</f>
        <v/>
      </c>
      <c r="H150" s="1" t="str">
        <f>IFERROR(INDEX(CaProdutos[Un. Por Lote], MATCH(Ingredientes[[#This Row],[Produto]], CaProdutos[Item], 0)), "")</f>
        <v/>
      </c>
      <c r="I1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1" spans="4:9">
      <c r="D151" s="1" t="str">
        <f>IFERROR(
INDEX(insumos[ID],MATCH(Ingredientes[[#This Row],[item]],insumos[item],0)),
IFERROR(
INDEX(CaProdutos[ID],MATCH(Ingredientes[[#This Row],[item]],CaProdutos[Item],0)),
""
))</f>
        <v/>
      </c>
      <c r="F151" s="1"/>
      <c r="G151" s="1" t="str">
        <f>IFERROR(
INDEX(insumos[medida],MATCH(Ingredientes[[#This Row],[item]],insumos[item],0)),
IFERROR(
IF(MATCH(Ingredientes[[#This Row],[item]],CaProdutos[Item],0)&gt;0,"Unidades",""),
""
))</f>
        <v/>
      </c>
      <c r="H151" s="1" t="str">
        <f>IFERROR(INDEX(CaProdutos[Un. Por Lote], MATCH(Ingredientes[[#This Row],[Produto]], CaProdutos[Item], 0)), "")</f>
        <v/>
      </c>
      <c r="I1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2" spans="4:9">
      <c r="D152" s="1" t="str">
        <f>IFERROR(
INDEX(insumos[ID],MATCH(Ingredientes[[#This Row],[item]],insumos[item],0)),
IFERROR(
INDEX(CaProdutos[ID],MATCH(Ingredientes[[#This Row],[item]],CaProdutos[Item],0)),
""
))</f>
        <v/>
      </c>
      <c r="F152" s="1"/>
      <c r="G152" s="1" t="str">
        <f>IFERROR(
INDEX(insumos[medida],MATCH(Ingredientes[[#This Row],[item]],insumos[item],0)),
IFERROR(
IF(MATCH(Ingredientes[[#This Row],[item]],CaProdutos[Item],0)&gt;0,"Unidades",""),
""
))</f>
        <v/>
      </c>
      <c r="H152" s="1" t="str">
        <f>IFERROR(INDEX(CaProdutos[Un. Por Lote], MATCH(Ingredientes[[#This Row],[Produto]], CaProdutos[Item], 0)), "")</f>
        <v/>
      </c>
      <c r="I1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3" spans="4:9">
      <c r="D153" s="1" t="str">
        <f>IFERROR(
INDEX(insumos[ID],MATCH(Ingredientes[[#This Row],[item]],insumos[item],0)),
IFERROR(
INDEX(CaProdutos[ID],MATCH(Ingredientes[[#This Row],[item]],CaProdutos[Item],0)),
""
))</f>
        <v/>
      </c>
      <c r="F153" s="1"/>
      <c r="G153" s="1" t="str">
        <f>IFERROR(
INDEX(insumos[medida],MATCH(Ingredientes[[#This Row],[item]],insumos[item],0)),
IFERROR(
IF(MATCH(Ingredientes[[#This Row],[item]],CaProdutos[Item],0)&gt;0,"Unidades",""),
""
))</f>
        <v/>
      </c>
      <c r="H153" s="1" t="str">
        <f>IFERROR(INDEX(CaProdutos[Un. Por Lote], MATCH(Ingredientes[[#This Row],[Produto]], CaProdutos[Item], 0)), "")</f>
        <v/>
      </c>
      <c r="I1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4" spans="4:9">
      <c r="D154" s="1" t="str">
        <f>IFERROR(
INDEX(insumos[ID],MATCH(Ingredientes[[#This Row],[item]],insumos[item],0)),
IFERROR(
INDEX(CaProdutos[ID],MATCH(Ingredientes[[#This Row],[item]],CaProdutos[Item],0)),
""
))</f>
        <v/>
      </c>
      <c r="F154" s="1"/>
      <c r="G154" s="1" t="str">
        <f>IFERROR(
INDEX(insumos[medida],MATCH(Ingredientes[[#This Row],[item]],insumos[item],0)),
IFERROR(
IF(MATCH(Ingredientes[[#This Row],[item]],CaProdutos[Item],0)&gt;0,"Unidades",""),
""
))</f>
        <v/>
      </c>
      <c r="H154" s="1" t="str">
        <f>IFERROR(INDEX(CaProdutos[Un. Por Lote], MATCH(Ingredientes[[#This Row],[Produto]], CaProdutos[Item], 0)), "")</f>
        <v/>
      </c>
      <c r="I1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5" spans="4:9">
      <c r="D155" s="1" t="str">
        <f>IFERROR(
INDEX(insumos[ID],MATCH(Ingredientes[[#This Row],[item]],insumos[item],0)),
IFERROR(
INDEX(CaProdutos[ID],MATCH(Ingredientes[[#This Row],[item]],CaProdutos[Item],0)),
""
))</f>
        <v/>
      </c>
      <c r="F155" s="1"/>
      <c r="G155" s="1" t="str">
        <f>IFERROR(
INDEX(insumos[medida],MATCH(Ingredientes[[#This Row],[item]],insumos[item],0)),
IFERROR(
IF(MATCH(Ingredientes[[#This Row],[item]],CaProdutos[Item],0)&gt;0,"Unidades",""),
""
))</f>
        <v/>
      </c>
      <c r="H155" s="1" t="str">
        <f>IFERROR(INDEX(CaProdutos[Un. Por Lote], MATCH(Ingredientes[[#This Row],[Produto]], CaProdutos[Item], 0)), "")</f>
        <v/>
      </c>
      <c r="I1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6" spans="4:9">
      <c r="D156" s="1" t="str">
        <f>IFERROR(
INDEX(insumos[ID],MATCH(Ingredientes[[#This Row],[item]],insumos[item],0)),
IFERROR(
INDEX(CaProdutos[ID],MATCH(Ingredientes[[#This Row],[item]],CaProdutos[Item],0)),
""
))</f>
        <v/>
      </c>
      <c r="F156" s="1"/>
      <c r="G156" s="1" t="str">
        <f>IFERROR(
INDEX(insumos[medida],MATCH(Ingredientes[[#This Row],[item]],insumos[item],0)),
IFERROR(
IF(MATCH(Ingredientes[[#This Row],[item]],CaProdutos[Item],0)&gt;0,"Unidades",""),
""
))</f>
        <v/>
      </c>
      <c r="H156" s="1" t="str">
        <f>IFERROR(INDEX(CaProdutos[Un. Por Lote], MATCH(Ingredientes[[#This Row],[Produto]], CaProdutos[Item], 0)), "")</f>
        <v/>
      </c>
      <c r="I1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7" spans="4:9">
      <c r="D157" s="1" t="str">
        <f>IFERROR(
INDEX(insumos[ID],MATCH(Ingredientes[[#This Row],[item]],insumos[item],0)),
IFERROR(
INDEX(CaProdutos[ID],MATCH(Ingredientes[[#This Row],[item]],CaProdutos[Item],0)),
""
))</f>
        <v/>
      </c>
      <c r="F157" s="1"/>
      <c r="G157" s="1" t="str">
        <f>IFERROR(
INDEX(insumos[medida],MATCH(Ingredientes[[#This Row],[item]],insumos[item],0)),
IFERROR(
IF(MATCH(Ingredientes[[#This Row],[item]],CaProdutos[Item],0)&gt;0,"Unidades",""),
""
))</f>
        <v/>
      </c>
      <c r="H157" s="1" t="str">
        <f>IFERROR(INDEX(CaProdutos[Un. Por Lote], MATCH(Ingredientes[[#This Row],[Produto]], CaProdutos[Item], 0)), "")</f>
        <v/>
      </c>
      <c r="I1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8" spans="4:9">
      <c r="D158" s="1" t="str">
        <f>IFERROR(
INDEX(insumos[ID],MATCH(Ingredientes[[#This Row],[item]],insumos[item],0)),
IFERROR(
INDEX(CaProdutos[ID],MATCH(Ingredientes[[#This Row],[item]],CaProdutos[Item],0)),
""
))</f>
        <v/>
      </c>
      <c r="F158" s="1"/>
      <c r="G158" s="1" t="str">
        <f>IFERROR(
INDEX(insumos[medida],MATCH(Ingredientes[[#This Row],[item]],insumos[item],0)),
IFERROR(
IF(MATCH(Ingredientes[[#This Row],[item]],CaProdutos[Item],0)&gt;0,"Unidades",""),
""
))</f>
        <v/>
      </c>
      <c r="H158" s="1" t="str">
        <f>IFERROR(INDEX(CaProdutos[Un. Por Lote], MATCH(Ingredientes[[#This Row],[Produto]], CaProdutos[Item], 0)), "")</f>
        <v/>
      </c>
      <c r="I1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9" spans="4:9">
      <c r="D159" s="1" t="str">
        <f>IFERROR(
INDEX(insumos[ID],MATCH(Ingredientes[[#This Row],[item]],insumos[item],0)),
IFERROR(
INDEX(CaProdutos[ID],MATCH(Ingredientes[[#This Row],[item]],CaProdutos[Item],0)),
""
))</f>
        <v/>
      </c>
      <c r="F159" s="1"/>
      <c r="G159" s="1" t="str">
        <f>IFERROR(
INDEX(insumos[medida],MATCH(Ingredientes[[#This Row],[item]],insumos[item],0)),
IFERROR(
IF(MATCH(Ingredientes[[#This Row],[item]],CaProdutos[Item],0)&gt;0,"Unidades",""),
""
))</f>
        <v/>
      </c>
      <c r="H159" s="1" t="str">
        <f>IFERROR(INDEX(CaProdutos[Un. Por Lote], MATCH(Ingredientes[[#This Row],[Produto]], CaProdutos[Item], 0)), "")</f>
        <v/>
      </c>
      <c r="I1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0" spans="4:9">
      <c r="D160" s="1" t="str">
        <f>IFERROR(
INDEX(insumos[ID],MATCH(Ingredientes[[#This Row],[item]],insumos[item],0)),
IFERROR(
INDEX(CaProdutos[ID],MATCH(Ingredientes[[#This Row],[item]],CaProdutos[Item],0)),
""
))</f>
        <v/>
      </c>
      <c r="F160" s="1"/>
      <c r="G160" s="1" t="str">
        <f>IFERROR(
INDEX(insumos[medida],MATCH(Ingredientes[[#This Row],[item]],insumos[item],0)),
IFERROR(
IF(MATCH(Ingredientes[[#This Row],[item]],CaProdutos[Item],0)&gt;0,"Unidades",""),
""
))</f>
        <v/>
      </c>
      <c r="H160" s="1" t="str">
        <f>IFERROR(INDEX(CaProdutos[Un. Por Lote], MATCH(Ingredientes[[#This Row],[Produto]], CaProdutos[Item], 0)), "")</f>
        <v/>
      </c>
      <c r="I1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1" spans="4:9">
      <c r="D161" s="1" t="str">
        <f>IFERROR(
INDEX(insumos[ID],MATCH(Ingredientes[[#This Row],[item]],insumos[item],0)),
IFERROR(
INDEX(CaProdutos[ID],MATCH(Ingredientes[[#This Row],[item]],CaProdutos[Item],0)),
""
))</f>
        <v/>
      </c>
      <c r="F161" s="1"/>
      <c r="G161" s="1" t="str">
        <f>IFERROR(
INDEX(insumos[medida],MATCH(Ingredientes[[#This Row],[item]],insumos[item],0)),
IFERROR(
IF(MATCH(Ingredientes[[#This Row],[item]],CaProdutos[Item],0)&gt;0,"Unidades",""),
""
))</f>
        <v/>
      </c>
      <c r="H161" s="1" t="str">
        <f>IFERROR(INDEX(CaProdutos[Un. Por Lote], MATCH(Ingredientes[[#This Row],[Produto]], CaProdutos[Item], 0)), "")</f>
        <v/>
      </c>
      <c r="I1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2" spans="4:9">
      <c r="D162" s="1" t="str">
        <f>IFERROR(
INDEX(insumos[ID],MATCH(Ingredientes[[#This Row],[item]],insumos[item],0)),
IFERROR(
INDEX(CaProdutos[ID],MATCH(Ingredientes[[#This Row],[item]],CaProdutos[Item],0)),
""
))</f>
        <v/>
      </c>
      <c r="F162" s="1"/>
      <c r="G162" s="1" t="str">
        <f>IFERROR(
INDEX(insumos[medida],MATCH(Ingredientes[[#This Row],[item]],insumos[item],0)),
IFERROR(
IF(MATCH(Ingredientes[[#This Row],[item]],CaProdutos[Item],0)&gt;0,"Unidades",""),
""
))</f>
        <v/>
      </c>
      <c r="H162" s="1" t="str">
        <f>IFERROR(INDEX(CaProdutos[Un. Por Lote], MATCH(Ingredientes[[#This Row],[Produto]], CaProdutos[Item], 0)), "")</f>
        <v/>
      </c>
      <c r="I1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3" spans="4:9">
      <c r="D163" s="1" t="str">
        <f>IFERROR(
INDEX(insumos[ID],MATCH(Ingredientes[[#This Row],[item]],insumos[item],0)),
IFERROR(
INDEX(CaProdutos[ID],MATCH(Ingredientes[[#This Row],[item]],CaProdutos[Item],0)),
""
))</f>
        <v/>
      </c>
      <c r="F163" s="1"/>
      <c r="G163" s="1" t="str">
        <f>IFERROR(
INDEX(insumos[medida],MATCH(Ingredientes[[#This Row],[item]],insumos[item],0)),
IFERROR(
IF(MATCH(Ingredientes[[#This Row],[item]],CaProdutos[Item],0)&gt;0,"Unidades",""),
""
))</f>
        <v/>
      </c>
      <c r="H163" s="1" t="str">
        <f>IFERROR(INDEX(CaProdutos[Un. Por Lote], MATCH(Ingredientes[[#This Row],[Produto]], CaProdutos[Item], 0)), "")</f>
        <v/>
      </c>
      <c r="I1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4" spans="4:9">
      <c r="D164" s="1" t="str">
        <f>IFERROR(
INDEX(insumos[ID],MATCH(Ingredientes[[#This Row],[item]],insumos[item],0)),
IFERROR(
INDEX(CaProdutos[ID],MATCH(Ingredientes[[#This Row],[item]],CaProdutos[Item],0)),
""
))</f>
        <v/>
      </c>
      <c r="F164" s="1"/>
      <c r="G164" s="1" t="str">
        <f>IFERROR(
INDEX(insumos[medida],MATCH(Ingredientes[[#This Row],[item]],insumos[item],0)),
IFERROR(
IF(MATCH(Ingredientes[[#This Row],[item]],CaProdutos[Item],0)&gt;0,"Unidades",""),
""
))</f>
        <v/>
      </c>
      <c r="H164" s="1" t="str">
        <f>IFERROR(INDEX(CaProdutos[Un. Por Lote], MATCH(Ingredientes[[#This Row],[Produto]], CaProdutos[Item], 0)), "")</f>
        <v/>
      </c>
      <c r="I1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5" spans="4:9">
      <c r="D165" s="1" t="str">
        <f>IFERROR(
INDEX(insumos[ID],MATCH(Ingredientes[[#This Row],[item]],insumos[item],0)),
IFERROR(
INDEX(CaProdutos[ID],MATCH(Ingredientes[[#This Row],[item]],CaProdutos[Item],0)),
""
))</f>
        <v/>
      </c>
      <c r="F165" s="1"/>
      <c r="G165" s="1" t="str">
        <f>IFERROR(
INDEX(insumos[medida],MATCH(Ingredientes[[#This Row],[item]],insumos[item],0)),
IFERROR(
IF(MATCH(Ingredientes[[#This Row],[item]],CaProdutos[Item],0)&gt;0,"Unidades",""),
""
))</f>
        <v/>
      </c>
      <c r="H165" s="1" t="str">
        <f>IFERROR(INDEX(CaProdutos[Un. Por Lote], MATCH(Ingredientes[[#This Row],[Produto]], CaProdutos[Item], 0)), "")</f>
        <v/>
      </c>
      <c r="I1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6" spans="4:9">
      <c r="D166" s="1" t="str">
        <f>IFERROR(
INDEX(insumos[ID],MATCH(Ingredientes[[#This Row],[item]],insumos[item],0)),
IFERROR(
INDEX(CaProdutos[ID],MATCH(Ingredientes[[#This Row],[item]],CaProdutos[Item],0)),
""
))</f>
        <v/>
      </c>
      <c r="F166" s="1"/>
      <c r="G166" s="1" t="str">
        <f>IFERROR(
INDEX(insumos[medida],MATCH(Ingredientes[[#This Row],[item]],insumos[item],0)),
IFERROR(
IF(MATCH(Ingredientes[[#This Row],[item]],CaProdutos[Item],0)&gt;0,"Unidades",""),
""
))</f>
        <v/>
      </c>
      <c r="H166" s="1" t="str">
        <f>IFERROR(INDEX(CaProdutos[Un. Por Lote], MATCH(Ingredientes[[#This Row],[Produto]], CaProdutos[Item], 0)), "")</f>
        <v/>
      </c>
      <c r="I1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7" spans="4:9">
      <c r="D167" s="1" t="str">
        <f>IFERROR(
INDEX(insumos[ID],MATCH(Ingredientes[[#This Row],[item]],insumos[item],0)),
IFERROR(
INDEX(CaProdutos[ID],MATCH(Ingredientes[[#This Row],[item]],CaProdutos[Item],0)),
""
))</f>
        <v/>
      </c>
      <c r="F167" s="1"/>
      <c r="G167" s="1" t="str">
        <f>IFERROR(
INDEX(insumos[medida],MATCH(Ingredientes[[#This Row],[item]],insumos[item],0)),
IFERROR(
IF(MATCH(Ingredientes[[#This Row],[item]],CaProdutos[Item],0)&gt;0,"Unidades",""),
""
))</f>
        <v/>
      </c>
      <c r="H167" s="1" t="str">
        <f>IFERROR(INDEX(CaProdutos[Un. Por Lote], MATCH(Ingredientes[[#This Row],[Produto]], CaProdutos[Item], 0)), "")</f>
        <v/>
      </c>
      <c r="I1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8" spans="4:9">
      <c r="D168" s="1" t="str">
        <f>IFERROR(
INDEX(insumos[ID],MATCH(Ingredientes[[#This Row],[item]],insumos[item],0)),
IFERROR(
INDEX(CaProdutos[ID],MATCH(Ingredientes[[#This Row],[item]],CaProdutos[Item],0)),
""
))</f>
        <v/>
      </c>
      <c r="F168" s="1"/>
      <c r="G168" s="1" t="str">
        <f>IFERROR(
INDEX(insumos[medida],MATCH(Ingredientes[[#This Row],[item]],insumos[item],0)),
IFERROR(
IF(MATCH(Ingredientes[[#This Row],[item]],CaProdutos[Item],0)&gt;0,"Unidades",""),
""
))</f>
        <v/>
      </c>
      <c r="H168" s="1" t="str">
        <f>IFERROR(INDEX(CaProdutos[Un. Por Lote], MATCH(Ingredientes[[#This Row],[Produto]], CaProdutos[Item], 0)), "")</f>
        <v/>
      </c>
      <c r="I1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9" spans="4:9">
      <c r="D169" s="1" t="str">
        <f>IFERROR(
INDEX(insumos[ID],MATCH(Ingredientes[[#This Row],[item]],insumos[item],0)),
IFERROR(
INDEX(CaProdutos[ID],MATCH(Ingredientes[[#This Row],[item]],CaProdutos[Item],0)),
""
))</f>
        <v/>
      </c>
      <c r="F169" s="1"/>
      <c r="G169" s="1" t="str">
        <f>IFERROR(
INDEX(insumos[medida],MATCH(Ingredientes[[#This Row],[item]],insumos[item],0)),
IFERROR(
IF(MATCH(Ingredientes[[#This Row],[item]],CaProdutos[Item],0)&gt;0,"Unidades",""),
""
))</f>
        <v/>
      </c>
      <c r="H169" s="1" t="str">
        <f>IFERROR(INDEX(CaProdutos[Un. Por Lote], MATCH(Ingredientes[[#This Row],[Produto]], CaProdutos[Item], 0)), "")</f>
        <v/>
      </c>
      <c r="I1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0" spans="4:9">
      <c r="D170" s="1" t="str">
        <f>IFERROR(
INDEX(insumos[ID],MATCH(Ingredientes[[#This Row],[item]],insumos[item],0)),
IFERROR(
INDEX(CaProdutos[ID],MATCH(Ingredientes[[#This Row],[item]],CaProdutos[Item],0)),
""
))</f>
        <v/>
      </c>
      <c r="F170" s="1"/>
      <c r="G170" s="1" t="str">
        <f>IFERROR(
INDEX(insumos[medida],MATCH(Ingredientes[[#This Row],[item]],insumos[item],0)),
IFERROR(
IF(MATCH(Ingredientes[[#This Row],[item]],CaProdutos[Item],0)&gt;0,"Unidades",""),
""
))</f>
        <v/>
      </c>
      <c r="H170" s="1" t="str">
        <f>IFERROR(INDEX(CaProdutos[Un. Por Lote], MATCH(Ingredientes[[#This Row],[Produto]], CaProdutos[Item], 0)), "")</f>
        <v/>
      </c>
      <c r="I1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1" spans="4:9">
      <c r="D171" s="1" t="str">
        <f>IFERROR(
INDEX(insumos[ID],MATCH(Ingredientes[[#This Row],[item]],insumos[item],0)),
IFERROR(
INDEX(CaProdutos[ID],MATCH(Ingredientes[[#This Row],[item]],CaProdutos[Item],0)),
""
))</f>
        <v/>
      </c>
      <c r="F171" s="1"/>
      <c r="G171" s="1" t="str">
        <f>IFERROR(
INDEX(insumos[medida],MATCH(Ingredientes[[#This Row],[item]],insumos[item],0)),
IFERROR(
IF(MATCH(Ingredientes[[#This Row],[item]],CaProdutos[Item],0)&gt;0,"Unidades",""),
""
))</f>
        <v/>
      </c>
      <c r="H171" s="1" t="str">
        <f>IFERROR(INDEX(CaProdutos[Un. Por Lote], MATCH(Ingredientes[[#This Row],[Produto]], CaProdutos[Item], 0)), "")</f>
        <v/>
      </c>
      <c r="I1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2" spans="4:9">
      <c r="D172" s="1" t="str">
        <f>IFERROR(
INDEX(insumos[ID],MATCH(Ingredientes[[#This Row],[item]],insumos[item],0)),
IFERROR(
INDEX(CaProdutos[ID],MATCH(Ingredientes[[#This Row],[item]],CaProdutos[Item],0)),
""
))</f>
        <v/>
      </c>
      <c r="F172" s="1"/>
      <c r="G172" s="1" t="str">
        <f>IFERROR(
INDEX(insumos[medida],MATCH(Ingredientes[[#This Row],[item]],insumos[item],0)),
IFERROR(
IF(MATCH(Ingredientes[[#This Row],[item]],CaProdutos[Item],0)&gt;0,"Unidades",""),
""
))</f>
        <v/>
      </c>
      <c r="H172" s="1" t="str">
        <f>IFERROR(INDEX(CaProdutos[Un. Por Lote], MATCH(Ingredientes[[#This Row],[Produto]], CaProdutos[Item], 0)), "")</f>
        <v/>
      </c>
      <c r="I1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3" spans="4:9">
      <c r="D173" s="1" t="str">
        <f>IFERROR(
INDEX(insumos[ID],MATCH(Ingredientes[[#This Row],[item]],insumos[item],0)),
IFERROR(
INDEX(CaProdutos[ID],MATCH(Ingredientes[[#This Row],[item]],CaProdutos[Item],0)),
""
))</f>
        <v/>
      </c>
      <c r="F173" s="1"/>
      <c r="G173" s="1" t="str">
        <f>IFERROR(
INDEX(insumos[medida],MATCH(Ingredientes[[#This Row],[item]],insumos[item],0)),
IFERROR(
IF(MATCH(Ingredientes[[#This Row],[item]],CaProdutos[Item],0)&gt;0,"Unidades",""),
""
))</f>
        <v/>
      </c>
      <c r="H173" s="1" t="str">
        <f>IFERROR(INDEX(CaProdutos[Un. Por Lote], MATCH(Ingredientes[[#This Row],[Produto]], CaProdutos[Item], 0)), "")</f>
        <v/>
      </c>
      <c r="I1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4" spans="4:9">
      <c r="D174" s="1" t="str">
        <f>IFERROR(
INDEX(insumos[ID],MATCH(Ingredientes[[#This Row],[item]],insumos[item],0)),
IFERROR(
INDEX(CaProdutos[ID],MATCH(Ingredientes[[#This Row],[item]],CaProdutos[Item],0)),
""
))</f>
        <v/>
      </c>
      <c r="F174" s="1"/>
      <c r="G174" s="1" t="str">
        <f>IFERROR(
INDEX(insumos[medida],MATCH(Ingredientes[[#This Row],[item]],insumos[item],0)),
IFERROR(
IF(MATCH(Ingredientes[[#This Row],[item]],CaProdutos[Item],0)&gt;0,"Unidades",""),
""
))</f>
        <v/>
      </c>
      <c r="H174" s="1" t="str">
        <f>IFERROR(INDEX(CaProdutos[Un. Por Lote], MATCH(Ingredientes[[#This Row],[Produto]], CaProdutos[Item], 0)), "")</f>
        <v/>
      </c>
      <c r="I1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5" spans="4:9">
      <c r="D175" s="1" t="str">
        <f>IFERROR(
INDEX(insumos[ID],MATCH(Ingredientes[[#This Row],[item]],insumos[item],0)),
IFERROR(
INDEX(CaProdutos[ID],MATCH(Ingredientes[[#This Row],[item]],CaProdutos[Item],0)),
""
))</f>
        <v/>
      </c>
      <c r="F175" s="1"/>
      <c r="G175" s="1" t="str">
        <f>IFERROR(
INDEX(insumos[medida],MATCH(Ingredientes[[#This Row],[item]],insumos[item],0)),
IFERROR(
IF(MATCH(Ingredientes[[#This Row],[item]],CaProdutos[Item],0)&gt;0,"Unidades",""),
""
))</f>
        <v/>
      </c>
      <c r="H175" s="1" t="str">
        <f>IFERROR(INDEX(CaProdutos[Un. Por Lote], MATCH(Ingredientes[[#This Row],[Produto]], CaProdutos[Item], 0)), "")</f>
        <v/>
      </c>
      <c r="I1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6" spans="4:9">
      <c r="D176" s="1" t="str">
        <f>IFERROR(
INDEX(insumos[ID],MATCH(Ingredientes[[#This Row],[item]],insumos[item],0)),
IFERROR(
INDEX(CaProdutos[ID],MATCH(Ingredientes[[#This Row],[item]],CaProdutos[Item],0)),
""
))</f>
        <v/>
      </c>
      <c r="F176" s="1"/>
      <c r="G176" s="1" t="str">
        <f>IFERROR(
INDEX(insumos[medida],MATCH(Ingredientes[[#This Row],[item]],insumos[item],0)),
IFERROR(
IF(MATCH(Ingredientes[[#This Row],[item]],CaProdutos[Item],0)&gt;0,"Unidades",""),
""
))</f>
        <v/>
      </c>
      <c r="H176" s="1" t="str">
        <f>IFERROR(INDEX(CaProdutos[Un. Por Lote], MATCH(Ingredientes[[#This Row],[Produto]], CaProdutos[Item], 0)), "")</f>
        <v/>
      </c>
      <c r="I1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7" spans="4:9">
      <c r="D177" s="1" t="str">
        <f>IFERROR(
INDEX(insumos[ID],MATCH(Ingredientes[[#This Row],[item]],insumos[item],0)),
IFERROR(
INDEX(CaProdutos[ID],MATCH(Ingredientes[[#This Row],[item]],CaProdutos[Item],0)),
""
))</f>
        <v/>
      </c>
      <c r="F177" s="1"/>
      <c r="G177" s="1" t="str">
        <f>IFERROR(
INDEX(insumos[medida],MATCH(Ingredientes[[#This Row],[item]],insumos[item],0)),
IFERROR(
IF(MATCH(Ingredientes[[#This Row],[item]],CaProdutos[Item],0)&gt;0,"Unidades",""),
""
))</f>
        <v/>
      </c>
      <c r="H177" s="1" t="str">
        <f>IFERROR(INDEX(CaProdutos[Un. Por Lote], MATCH(Ingredientes[[#This Row],[Produto]], CaProdutos[Item], 0)), "")</f>
        <v/>
      </c>
      <c r="I1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8" spans="4:9">
      <c r="D178" s="1" t="str">
        <f>IFERROR(
INDEX(insumos[ID],MATCH(Ingredientes[[#This Row],[item]],insumos[item],0)),
IFERROR(
INDEX(CaProdutos[ID],MATCH(Ingredientes[[#This Row],[item]],CaProdutos[Item],0)),
""
))</f>
        <v/>
      </c>
      <c r="F178" s="1"/>
      <c r="G178" s="1" t="str">
        <f>IFERROR(
INDEX(insumos[medida],MATCH(Ingredientes[[#This Row],[item]],insumos[item],0)),
IFERROR(
IF(MATCH(Ingredientes[[#This Row],[item]],CaProdutos[Item],0)&gt;0,"Unidades",""),
""
))</f>
        <v/>
      </c>
      <c r="H178" s="1" t="str">
        <f>IFERROR(INDEX(CaProdutos[Un. Por Lote], MATCH(Ingredientes[[#This Row],[Produto]], CaProdutos[Item], 0)), "")</f>
        <v/>
      </c>
      <c r="I1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9" spans="4:9">
      <c r="D179" s="1" t="str">
        <f>IFERROR(
INDEX(insumos[ID],MATCH(Ingredientes[[#This Row],[item]],insumos[item],0)),
IFERROR(
INDEX(CaProdutos[ID],MATCH(Ingredientes[[#This Row],[item]],CaProdutos[Item],0)),
""
))</f>
        <v/>
      </c>
      <c r="F179" s="1"/>
      <c r="G179" s="1" t="str">
        <f>IFERROR(
INDEX(insumos[medida],MATCH(Ingredientes[[#This Row],[item]],insumos[item],0)),
IFERROR(
IF(MATCH(Ingredientes[[#This Row],[item]],CaProdutos[Item],0)&gt;0,"Unidades",""),
""
))</f>
        <v/>
      </c>
      <c r="H179" s="1" t="str">
        <f>IFERROR(INDEX(CaProdutos[Un. Por Lote], MATCH(Ingredientes[[#This Row],[Produto]], CaProdutos[Item], 0)), "")</f>
        <v/>
      </c>
      <c r="I1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0" spans="4:9">
      <c r="D180" s="1" t="str">
        <f>IFERROR(
INDEX(insumos[ID],MATCH(Ingredientes[[#This Row],[item]],insumos[item],0)),
IFERROR(
INDEX(CaProdutos[ID],MATCH(Ingredientes[[#This Row],[item]],CaProdutos[Item],0)),
""
))</f>
        <v/>
      </c>
      <c r="F180" s="1"/>
      <c r="G180" s="1" t="str">
        <f>IFERROR(
INDEX(insumos[medida],MATCH(Ingredientes[[#This Row],[item]],insumos[item],0)),
IFERROR(
IF(MATCH(Ingredientes[[#This Row],[item]],CaProdutos[Item],0)&gt;0,"Unidades",""),
""
))</f>
        <v/>
      </c>
      <c r="H180" s="1" t="str">
        <f>IFERROR(INDEX(CaProdutos[Un. Por Lote], MATCH(Ingredientes[[#This Row],[Produto]], CaProdutos[Item], 0)), "")</f>
        <v/>
      </c>
      <c r="I1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1" spans="4:9">
      <c r="D181" s="1" t="str">
        <f>IFERROR(
INDEX(insumos[ID],MATCH(Ingredientes[[#This Row],[item]],insumos[item],0)),
IFERROR(
INDEX(CaProdutos[ID],MATCH(Ingredientes[[#This Row],[item]],CaProdutos[Item],0)),
""
))</f>
        <v/>
      </c>
      <c r="F181" s="1"/>
      <c r="G181" s="1" t="str">
        <f>IFERROR(
INDEX(insumos[medida],MATCH(Ingredientes[[#This Row],[item]],insumos[item],0)),
IFERROR(
IF(MATCH(Ingredientes[[#This Row],[item]],CaProdutos[Item],0)&gt;0,"Unidades",""),
""
))</f>
        <v/>
      </c>
      <c r="H181" s="1" t="str">
        <f>IFERROR(INDEX(CaProdutos[Un. Por Lote], MATCH(Ingredientes[[#This Row],[Produto]], CaProdutos[Item], 0)), "")</f>
        <v/>
      </c>
      <c r="I1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2" spans="4:9">
      <c r="D182" s="1" t="str">
        <f>IFERROR(
INDEX(insumos[ID],MATCH(Ingredientes[[#This Row],[item]],insumos[item],0)),
IFERROR(
INDEX(CaProdutos[ID],MATCH(Ingredientes[[#This Row],[item]],CaProdutos[Item],0)),
""
))</f>
        <v/>
      </c>
      <c r="F182" s="1"/>
      <c r="G182" s="1" t="str">
        <f>IFERROR(
INDEX(insumos[medida],MATCH(Ingredientes[[#This Row],[item]],insumos[item],0)),
IFERROR(
IF(MATCH(Ingredientes[[#This Row],[item]],CaProdutos[Item],0)&gt;0,"Unidades",""),
""
))</f>
        <v/>
      </c>
      <c r="H182" s="1" t="str">
        <f>IFERROR(INDEX(CaProdutos[Un. Por Lote], MATCH(Ingredientes[[#This Row],[Produto]], CaProdutos[Item], 0)), "")</f>
        <v/>
      </c>
      <c r="I1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3" spans="4:9">
      <c r="D183" s="1" t="str">
        <f>IFERROR(
INDEX(insumos[ID],MATCH(Ingredientes[[#This Row],[item]],insumos[item],0)),
IFERROR(
INDEX(CaProdutos[ID],MATCH(Ingredientes[[#This Row],[item]],CaProdutos[Item],0)),
""
))</f>
        <v/>
      </c>
      <c r="F183" s="1"/>
      <c r="G183" s="1" t="str">
        <f>IFERROR(
INDEX(insumos[medida],MATCH(Ingredientes[[#This Row],[item]],insumos[item],0)),
IFERROR(
IF(MATCH(Ingredientes[[#This Row],[item]],CaProdutos[Item],0)&gt;0,"Unidades",""),
""
))</f>
        <v/>
      </c>
      <c r="H183" s="1" t="str">
        <f>IFERROR(INDEX(CaProdutos[Un. Por Lote], MATCH(Ingredientes[[#This Row],[Produto]], CaProdutos[Item], 0)), "")</f>
        <v/>
      </c>
      <c r="I1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4" spans="4:9">
      <c r="D184" s="1" t="str">
        <f>IFERROR(
INDEX(insumos[ID],MATCH(Ingredientes[[#This Row],[item]],insumos[item],0)),
IFERROR(
INDEX(CaProdutos[ID],MATCH(Ingredientes[[#This Row],[item]],CaProdutos[Item],0)),
""
))</f>
        <v/>
      </c>
      <c r="F184" s="1"/>
      <c r="G184" s="1" t="str">
        <f>IFERROR(
INDEX(insumos[medida],MATCH(Ingredientes[[#This Row],[item]],insumos[item],0)),
IFERROR(
IF(MATCH(Ingredientes[[#This Row],[item]],CaProdutos[Item],0)&gt;0,"Unidades",""),
""
))</f>
        <v/>
      </c>
      <c r="H184" s="1" t="str">
        <f>IFERROR(INDEX(CaProdutos[Un. Por Lote], MATCH(Ingredientes[[#This Row],[Produto]], CaProdutos[Item], 0)), "")</f>
        <v/>
      </c>
      <c r="I1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5" spans="4:9">
      <c r="D185" s="1" t="str">
        <f>IFERROR(
INDEX(insumos[ID],MATCH(Ingredientes[[#This Row],[item]],insumos[item],0)),
IFERROR(
INDEX(CaProdutos[ID],MATCH(Ingredientes[[#This Row],[item]],CaProdutos[Item],0)),
""
))</f>
        <v/>
      </c>
      <c r="F185" s="1"/>
      <c r="G185" s="1" t="str">
        <f>IFERROR(
INDEX(insumos[medida],MATCH(Ingredientes[[#This Row],[item]],insumos[item],0)),
IFERROR(
IF(MATCH(Ingredientes[[#This Row],[item]],CaProdutos[Item],0)&gt;0,"Unidades",""),
""
))</f>
        <v/>
      </c>
      <c r="H185" s="1" t="str">
        <f>IFERROR(INDEX(CaProdutos[Un. Por Lote], MATCH(Ingredientes[[#This Row],[Produto]], CaProdutos[Item], 0)), "")</f>
        <v/>
      </c>
      <c r="I1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6" spans="4:9">
      <c r="D186" s="1" t="str">
        <f>IFERROR(
INDEX(insumos[ID],MATCH(Ingredientes[[#This Row],[item]],insumos[item],0)),
IFERROR(
INDEX(CaProdutos[ID],MATCH(Ingredientes[[#This Row],[item]],CaProdutos[Item],0)),
""
))</f>
        <v/>
      </c>
      <c r="F186" s="1"/>
      <c r="G186" s="1" t="str">
        <f>IFERROR(
INDEX(insumos[medida],MATCH(Ingredientes[[#This Row],[item]],insumos[item],0)),
IFERROR(
IF(MATCH(Ingredientes[[#This Row],[item]],CaProdutos[Item],0)&gt;0,"Unidades",""),
""
))</f>
        <v/>
      </c>
      <c r="H186" s="1" t="str">
        <f>IFERROR(INDEX(CaProdutos[Un. Por Lote], MATCH(Ingredientes[[#This Row],[Produto]], CaProdutos[Item], 0)), "")</f>
        <v/>
      </c>
      <c r="I1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7" spans="4:9">
      <c r="D187" s="1" t="str">
        <f>IFERROR(
INDEX(insumos[ID],MATCH(Ingredientes[[#This Row],[item]],insumos[item],0)),
IFERROR(
INDEX(CaProdutos[ID],MATCH(Ingredientes[[#This Row],[item]],CaProdutos[Item],0)),
""
))</f>
        <v/>
      </c>
      <c r="F187" s="1"/>
      <c r="G187" s="1" t="str">
        <f>IFERROR(
INDEX(insumos[medida],MATCH(Ingredientes[[#This Row],[item]],insumos[item],0)),
IFERROR(
IF(MATCH(Ingredientes[[#This Row],[item]],CaProdutos[Item],0)&gt;0,"Unidades",""),
""
))</f>
        <v/>
      </c>
      <c r="H187" s="1" t="str">
        <f>IFERROR(INDEX(CaProdutos[Un. Por Lote], MATCH(Ingredientes[[#This Row],[Produto]], CaProdutos[Item], 0)), "")</f>
        <v/>
      </c>
      <c r="I1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8" spans="4:9">
      <c r="D188" s="1" t="str">
        <f>IFERROR(
INDEX(insumos[ID],MATCH(Ingredientes[[#This Row],[item]],insumos[item],0)),
IFERROR(
INDEX(CaProdutos[ID],MATCH(Ingredientes[[#This Row],[item]],CaProdutos[Item],0)),
""
))</f>
        <v/>
      </c>
      <c r="F188" s="1"/>
      <c r="G188" s="1" t="str">
        <f>IFERROR(
INDEX(insumos[medida],MATCH(Ingredientes[[#This Row],[item]],insumos[item],0)),
IFERROR(
IF(MATCH(Ingredientes[[#This Row],[item]],CaProdutos[Item],0)&gt;0,"Unidades",""),
""
))</f>
        <v/>
      </c>
      <c r="H188" s="1" t="str">
        <f>IFERROR(INDEX(CaProdutos[Un. Por Lote], MATCH(Ingredientes[[#This Row],[Produto]], CaProdutos[Item], 0)), "")</f>
        <v/>
      </c>
      <c r="I1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9" spans="4:9">
      <c r="D189" s="1" t="str">
        <f>IFERROR(
INDEX(insumos[ID],MATCH(Ingredientes[[#This Row],[item]],insumos[item],0)),
IFERROR(
INDEX(CaProdutos[ID],MATCH(Ingredientes[[#This Row],[item]],CaProdutos[Item],0)),
""
))</f>
        <v/>
      </c>
      <c r="F189" s="1"/>
      <c r="G189" s="1" t="str">
        <f>IFERROR(
INDEX(insumos[medida],MATCH(Ingredientes[[#This Row],[item]],insumos[item],0)),
IFERROR(
IF(MATCH(Ingredientes[[#This Row],[item]],CaProdutos[Item],0)&gt;0,"Unidades",""),
""
))</f>
        <v/>
      </c>
      <c r="H189" s="1" t="str">
        <f>IFERROR(INDEX(CaProdutos[Un. Por Lote], MATCH(Ingredientes[[#This Row],[Produto]], CaProdutos[Item], 0)), "")</f>
        <v/>
      </c>
      <c r="I1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0" spans="4:9">
      <c r="D190" s="1" t="str">
        <f>IFERROR(
INDEX(insumos[ID],MATCH(Ingredientes[[#This Row],[item]],insumos[item],0)),
IFERROR(
INDEX(CaProdutos[ID],MATCH(Ingredientes[[#This Row],[item]],CaProdutos[Item],0)),
""
))</f>
        <v/>
      </c>
      <c r="F190" s="1"/>
      <c r="G190" s="1" t="str">
        <f>IFERROR(
INDEX(insumos[medida],MATCH(Ingredientes[[#This Row],[item]],insumos[item],0)),
IFERROR(
IF(MATCH(Ingredientes[[#This Row],[item]],CaProdutos[Item],0)&gt;0,"Unidades",""),
""
))</f>
        <v/>
      </c>
      <c r="H190" s="1" t="str">
        <f>IFERROR(INDEX(CaProdutos[Un. Por Lote], MATCH(Ingredientes[[#This Row],[Produto]], CaProdutos[Item], 0)), "")</f>
        <v/>
      </c>
      <c r="I1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1" spans="4:9">
      <c r="D191" s="1" t="str">
        <f>IFERROR(
INDEX(insumos[ID],MATCH(Ingredientes[[#This Row],[item]],insumos[item],0)),
IFERROR(
INDEX(CaProdutos[ID],MATCH(Ingredientes[[#This Row],[item]],CaProdutos[Item],0)),
""
))</f>
        <v/>
      </c>
      <c r="F191" s="1"/>
      <c r="G191" s="1" t="str">
        <f>IFERROR(
INDEX(insumos[medida],MATCH(Ingredientes[[#This Row],[item]],insumos[item],0)),
IFERROR(
IF(MATCH(Ingredientes[[#This Row],[item]],CaProdutos[Item],0)&gt;0,"Unidades",""),
""
))</f>
        <v/>
      </c>
      <c r="H191" s="1" t="str">
        <f>IFERROR(INDEX(CaProdutos[Un. Por Lote], MATCH(Ingredientes[[#This Row],[Produto]], CaProdutos[Item], 0)), "")</f>
        <v/>
      </c>
      <c r="I1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2" spans="4:9">
      <c r="D192" s="1" t="str">
        <f>IFERROR(
INDEX(insumos[ID],MATCH(Ingredientes[[#This Row],[item]],insumos[item],0)),
IFERROR(
INDEX(CaProdutos[ID],MATCH(Ingredientes[[#This Row],[item]],CaProdutos[Item],0)),
""
))</f>
        <v/>
      </c>
      <c r="F192" s="1"/>
      <c r="G192" s="1" t="str">
        <f>IFERROR(
INDEX(insumos[medida],MATCH(Ingredientes[[#This Row],[item]],insumos[item],0)),
IFERROR(
IF(MATCH(Ingredientes[[#This Row],[item]],CaProdutos[Item],0)&gt;0,"Unidades",""),
""
))</f>
        <v/>
      </c>
      <c r="H192" s="1" t="str">
        <f>IFERROR(INDEX(CaProdutos[Un. Por Lote], MATCH(Ingredientes[[#This Row],[Produto]], CaProdutos[Item], 0)), "")</f>
        <v/>
      </c>
      <c r="I1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3" spans="4:9">
      <c r="D193" s="1" t="str">
        <f>IFERROR(
INDEX(insumos[ID],MATCH(Ingredientes[[#This Row],[item]],insumos[item],0)),
IFERROR(
INDEX(CaProdutos[ID],MATCH(Ingredientes[[#This Row],[item]],CaProdutos[Item],0)),
""
))</f>
        <v/>
      </c>
      <c r="F193" s="1"/>
      <c r="G193" s="1" t="str">
        <f>IFERROR(
INDEX(insumos[medida],MATCH(Ingredientes[[#This Row],[item]],insumos[item],0)),
IFERROR(
IF(MATCH(Ingredientes[[#This Row],[item]],CaProdutos[Item],0)&gt;0,"Unidades",""),
""
))</f>
        <v/>
      </c>
      <c r="H193" s="1" t="str">
        <f>IFERROR(INDEX(CaProdutos[Un. Por Lote], MATCH(Ingredientes[[#This Row],[Produto]], CaProdutos[Item], 0)), "")</f>
        <v/>
      </c>
      <c r="I1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4" spans="4:9">
      <c r="D194" s="1" t="str">
        <f>IFERROR(
INDEX(insumos[ID],MATCH(Ingredientes[[#This Row],[item]],insumos[item],0)),
IFERROR(
INDEX(CaProdutos[ID],MATCH(Ingredientes[[#This Row],[item]],CaProdutos[Item],0)),
""
))</f>
        <v/>
      </c>
      <c r="F194" s="1"/>
      <c r="G194" s="1" t="str">
        <f>IFERROR(
INDEX(insumos[medida],MATCH(Ingredientes[[#This Row],[item]],insumos[item],0)),
IFERROR(
IF(MATCH(Ingredientes[[#This Row],[item]],CaProdutos[Item],0)&gt;0,"Unidades",""),
""
))</f>
        <v/>
      </c>
      <c r="H194" s="1" t="str">
        <f>IFERROR(INDEX(CaProdutos[Un. Por Lote], MATCH(Ingredientes[[#This Row],[Produto]], CaProdutos[Item], 0)), "")</f>
        <v/>
      </c>
      <c r="I1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5" spans="4:9">
      <c r="D195" s="1" t="str">
        <f>IFERROR(
INDEX(insumos[ID],MATCH(Ingredientes[[#This Row],[item]],insumos[item],0)),
IFERROR(
INDEX(CaProdutos[ID],MATCH(Ingredientes[[#This Row],[item]],CaProdutos[Item],0)),
""
))</f>
        <v/>
      </c>
      <c r="F195" s="1"/>
      <c r="G195" s="1" t="str">
        <f>IFERROR(
INDEX(insumos[medida],MATCH(Ingredientes[[#This Row],[item]],insumos[item],0)),
IFERROR(
IF(MATCH(Ingredientes[[#This Row],[item]],CaProdutos[Item],0)&gt;0,"Unidades",""),
""
))</f>
        <v/>
      </c>
      <c r="H195" s="1" t="str">
        <f>IFERROR(INDEX(CaProdutos[Un. Por Lote], MATCH(Ingredientes[[#This Row],[Produto]], CaProdutos[Item], 0)), "")</f>
        <v/>
      </c>
      <c r="I1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6" spans="4:9">
      <c r="D196" s="1" t="str">
        <f>IFERROR(
INDEX(insumos[ID],MATCH(Ingredientes[[#This Row],[item]],insumos[item],0)),
IFERROR(
INDEX(CaProdutos[ID],MATCH(Ingredientes[[#This Row],[item]],CaProdutos[Item],0)),
""
))</f>
        <v/>
      </c>
      <c r="F196" s="1"/>
      <c r="G196" s="1" t="str">
        <f>IFERROR(
INDEX(insumos[medida],MATCH(Ingredientes[[#This Row],[item]],insumos[item],0)),
IFERROR(
IF(MATCH(Ingredientes[[#This Row],[item]],CaProdutos[Item],0)&gt;0,"Unidades",""),
""
))</f>
        <v/>
      </c>
      <c r="H196" s="1" t="str">
        <f>IFERROR(INDEX(CaProdutos[Un. Por Lote], MATCH(Ingredientes[[#This Row],[Produto]], CaProdutos[Item], 0)), "")</f>
        <v/>
      </c>
      <c r="I1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7" spans="4:9">
      <c r="D197" s="1" t="str">
        <f>IFERROR(
INDEX(insumos[ID],MATCH(Ingredientes[[#This Row],[item]],insumos[item],0)),
IFERROR(
INDEX(CaProdutos[ID],MATCH(Ingredientes[[#This Row],[item]],CaProdutos[Item],0)),
""
))</f>
        <v/>
      </c>
      <c r="F197" s="1"/>
      <c r="G197" s="1" t="str">
        <f>IFERROR(
INDEX(insumos[medida],MATCH(Ingredientes[[#This Row],[item]],insumos[item],0)),
IFERROR(
IF(MATCH(Ingredientes[[#This Row],[item]],CaProdutos[Item],0)&gt;0,"Unidades",""),
""
))</f>
        <v/>
      </c>
      <c r="H197" s="1" t="str">
        <f>IFERROR(INDEX(CaProdutos[Un. Por Lote], MATCH(Ingredientes[[#This Row],[Produto]], CaProdutos[Item], 0)), "")</f>
        <v/>
      </c>
      <c r="I1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8" spans="4:9">
      <c r="D198" s="1" t="str">
        <f>IFERROR(
INDEX(insumos[ID],MATCH(Ingredientes[[#This Row],[item]],insumos[item],0)),
IFERROR(
INDEX(CaProdutos[ID],MATCH(Ingredientes[[#This Row],[item]],CaProdutos[Item],0)),
""
))</f>
        <v/>
      </c>
      <c r="F198" s="1"/>
      <c r="G198" s="1" t="str">
        <f>IFERROR(
INDEX(insumos[medida],MATCH(Ingredientes[[#This Row],[item]],insumos[item],0)),
IFERROR(
IF(MATCH(Ingredientes[[#This Row],[item]],CaProdutos[Item],0)&gt;0,"Unidades",""),
""
))</f>
        <v/>
      </c>
      <c r="H198" s="1" t="str">
        <f>IFERROR(INDEX(CaProdutos[Un. Por Lote], MATCH(Ingredientes[[#This Row],[Produto]], CaProdutos[Item], 0)), "")</f>
        <v/>
      </c>
      <c r="I1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9" spans="4:9">
      <c r="D199" s="1" t="str">
        <f>IFERROR(
INDEX(insumos[ID],MATCH(Ingredientes[[#This Row],[item]],insumos[item],0)),
IFERROR(
INDEX(CaProdutos[ID],MATCH(Ingredientes[[#This Row],[item]],CaProdutos[Item],0)),
""
))</f>
        <v/>
      </c>
      <c r="F199" s="1"/>
      <c r="G199" s="1" t="str">
        <f>IFERROR(
INDEX(insumos[medida],MATCH(Ingredientes[[#This Row],[item]],insumos[item],0)),
IFERROR(
IF(MATCH(Ingredientes[[#This Row],[item]],CaProdutos[Item],0)&gt;0,"Unidades",""),
""
))</f>
        <v/>
      </c>
      <c r="H199" s="1" t="str">
        <f>IFERROR(INDEX(CaProdutos[Un. Por Lote], MATCH(Ingredientes[[#This Row],[Produto]], CaProdutos[Item], 0)), "")</f>
        <v/>
      </c>
      <c r="I1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0" spans="4:9">
      <c r="D200" s="1" t="str">
        <f>IFERROR(
INDEX(insumos[ID],MATCH(Ingredientes[[#This Row],[item]],insumos[item],0)),
IFERROR(
INDEX(CaProdutos[ID],MATCH(Ingredientes[[#This Row],[item]],CaProdutos[Item],0)),
""
))</f>
        <v/>
      </c>
      <c r="F200" s="1"/>
      <c r="G200" s="1" t="str">
        <f>IFERROR(
INDEX(insumos[medida],MATCH(Ingredientes[[#This Row],[item]],insumos[item],0)),
IFERROR(
IF(MATCH(Ingredientes[[#This Row],[item]],CaProdutos[Item],0)&gt;0,"Unidades",""),
""
))</f>
        <v/>
      </c>
      <c r="H200" s="1" t="str">
        <f>IFERROR(INDEX(CaProdutos[Un. Por Lote], MATCH(Ingredientes[[#This Row],[Produto]], CaProdutos[Item], 0)), "")</f>
        <v/>
      </c>
      <c r="I2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1" spans="4:9">
      <c r="D201" s="1" t="str">
        <f>IFERROR(
INDEX(insumos[ID],MATCH(Ingredientes[[#This Row],[item]],insumos[item],0)),
IFERROR(
INDEX(CaProdutos[ID],MATCH(Ingredientes[[#This Row],[item]],CaProdutos[Item],0)),
""
))</f>
        <v/>
      </c>
      <c r="F201" s="1"/>
      <c r="G201" s="1" t="str">
        <f>IFERROR(
INDEX(insumos[medida],MATCH(Ingredientes[[#This Row],[item]],insumos[item],0)),
IFERROR(
IF(MATCH(Ingredientes[[#This Row],[item]],CaProdutos[Item],0)&gt;0,"Unidades",""),
""
))</f>
        <v/>
      </c>
      <c r="H201" s="1" t="str">
        <f>IFERROR(INDEX(CaProdutos[Un. Por Lote], MATCH(Ingredientes[[#This Row],[Produto]], CaProdutos[Item], 0)), "")</f>
        <v/>
      </c>
      <c r="I2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2" spans="4:9">
      <c r="D202" s="1" t="str">
        <f>IFERROR(
INDEX(insumos[ID],MATCH(Ingredientes[[#This Row],[item]],insumos[item],0)),
IFERROR(
INDEX(CaProdutos[ID],MATCH(Ingredientes[[#This Row],[item]],CaProdutos[Item],0)),
""
))</f>
        <v/>
      </c>
      <c r="F202" s="1"/>
      <c r="G202" s="1" t="str">
        <f>IFERROR(
INDEX(insumos[medida],MATCH(Ingredientes[[#This Row],[item]],insumos[item],0)),
IFERROR(
IF(MATCH(Ingredientes[[#This Row],[item]],CaProdutos[Item],0)&gt;0,"Unidades",""),
""
))</f>
        <v/>
      </c>
      <c r="H202" s="1" t="str">
        <f>IFERROR(INDEX(CaProdutos[Un. Por Lote], MATCH(Ingredientes[[#This Row],[Produto]], CaProdutos[Item], 0)), "")</f>
        <v/>
      </c>
      <c r="I2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3" spans="4:9">
      <c r="D203" s="1" t="str">
        <f>IFERROR(
INDEX(insumos[ID],MATCH(Ingredientes[[#This Row],[item]],insumos[item],0)),
IFERROR(
INDEX(CaProdutos[ID],MATCH(Ingredientes[[#This Row],[item]],CaProdutos[Item],0)),
""
))</f>
        <v/>
      </c>
      <c r="F203" s="1"/>
      <c r="G203" s="1" t="str">
        <f>IFERROR(
INDEX(insumos[medida],MATCH(Ingredientes[[#This Row],[item]],insumos[item],0)),
IFERROR(
IF(MATCH(Ingredientes[[#This Row],[item]],CaProdutos[Item],0)&gt;0,"Unidades",""),
""
))</f>
        <v/>
      </c>
      <c r="H203" s="1" t="str">
        <f>IFERROR(INDEX(CaProdutos[Un. Por Lote], MATCH(Ingredientes[[#This Row],[Produto]], CaProdutos[Item], 0)), "")</f>
        <v/>
      </c>
      <c r="I2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4" spans="4:9">
      <c r="D204" s="1" t="str">
        <f>IFERROR(
INDEX(insumos[ID],MATCH(Ingredientes[[#This Row],[item]],insumos[item],0)),
IFERROR(
INDEX(CaProdutos[ID],MATCH(Ingredientes[[#This Row],[item]],CaProdutos[Item],0)),
""
))</f>
        <v/>
      </c>
      <c r="F204" s="1"/>
      <c r="G204" s="1" t="str">
        <f>IFERROR(
INDEX(insumos[medida],MATCH(Ingredientes[[#This Row],[item]],insumos[item],0)),
IFERROR(
IF(MATCH(Ingredientes[[#This Row],[item]],CaProdutos[Item],0)&gt;0,"Unidades",""),
""
))</f>
        <v/>
      </c>
      <c r="H204" s="1" t="str">
        <f>IFERROR(INDEX(CaProdutos[Un. Por Lote], MATCH(Ingredientes[[#This Row],[Produto]], CaProdutos[Item], 0)), "")</f>
        <v/>
      </c>
      <c r="I2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5" spans="4:9">
      <c r="D205" s="1" t="str">
        <f>IFERROR(
INDEX(insumos[ID],MATCH(Ingredientes[[#This Row],[item]],insumos[item],0)),
IFERROR(
INDEX(CaProdutos[ID],MATCH(Ingredientes[[#This Row],[item]],CaProdutos[Item],0)),
""
))</f>
        <v/>
      </c>
      <c r="F205" s="1"/>
      <c r="G205" s="1" t="str">
        <f>IFERROR(
INDEX(insumos[medida],MATCH(Ingredientes[[#This Row],[item]],insumos[item],0)),
IFERROR(
IF(MATCH(Ingredientes[[#This Row],[item]],CaProdutos[Item],0)&gt;0,"Unidades",""),
""
))</f>
        <v/>
      </c>
      <c r="H205" s="1" t="str">
        <f>IFERROR(INDEX(CaProdutos[Un. Por Lote], MATCH(Ingredientes[[#This Row],[Produto]], CaProdutos[Item], 0)), "")</f>
        <v/>
      </c>
      <c r="I2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6" spans="4:9">
      <c r="D206" s="1" t="str">
        <f>IFERROR(
INDEX(insumos[ID],MATCH(Ingredientes[[#This Row],[item]],insumos[item],0)),
IFERROR(
INDEX(CaProdutos[ID],MATCH(Ingredientes[[#This Row],[item]],CaProdutos[Item],0)),
""
))</f>
        <v/>
      </c>
      <c r="F206" s="1"/>
      <c r="G206" s="1" t="str">
        <f>IFERROR(
INDEX(insumos[medida],MATCH(Ingredientes[[#This Row],[item]],insumos[item],0)),
IFERROR(
IF(MATCH(Ingredientes[[#This Row],[item]],CaProdutos[Item],0)&gt;0,"Unidades",""),
""
))</f>
        <v/>
      </c>
      <c r="H206" s="1" t="str">
        <f>IFERROR(INDEX(CaProdutos[Un. Por Lote], MATCH(Ingredientes[[#This Row],[Produto]], CaProdutos[Item], 0)), "")</f>
        <v/>
      </c>
      <c r="I2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7" spans="4:9">
      <c r="D207" s="1" t="str">
        <f>IFERROR(
INDEX(insumos[ID],MATCH(Ingredientes[[#This Row],[item]],insumos[item],0)),
IFERROR(
INDEX(CaProdutos[ID],MATCH(Ingredientes[[#This Row],[item]],CaProdutos[Item],0)),
""
))</f>
        <v/>
      </c>
      <c r="F207" s="1"/>
      <c r="G207" s="1" t="str">
        <f>IFERROR(
INDEX(insumos[medida],MATCH(Ingredientes[[#This Row],[item]],insumos[item],0)),
IFERROR(
IF(MATCH(Ingredientes[[#This Row],[item]],CaProdutos[Item],0)&gt;0,"Unidades",""),
""
))</f>
        <v/>
      </c>
      <c r="H207" s="1" t="str">
        <f>IFERROR(INDEX(CaProdutos[Un. Por Lote], MATCH(Ingredientes[[#This Row],[Produto]], CaProdutos[Item], 0)), "")</f>
        <v/>
      </c>
      <c r="I2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8" spans="4:9">
      <c r="D208" s="1" t="str">
        <f>IFERROR(
INDEX(insumos[ID],MATCH(Ingredientes[[#This Row],[item]],insumos[item],0)),
IFERROR(
INDEX(CaProdutos[ID],MATCH(Ingredientes[[#This Row],[item]],CaProdutos[Item],0)),
""
))</f>
        <v/>
      </c>
      <c r="F208" s="1"/>
      <c r="G208" s="1" t="str">
        <f>IFERROR(
INDEX(insumos[medida],MATCH(Ingredientes[[#This Row],[item]],insumos[item],0)),
IFERROR(
IF(MATCH(Ingredientes[[#This Row],[item]],CaProdutos[Item],0)&gt;0,"Unidades",""),
""
))</f>
        <v/>
      </c>
      <c r="H208" s="1" t="str">
        <f>IFERROR(INDEX(CaProdutos[Un. Por Lote], MATCH(Ingredientes[[#This Row],[Produto]], CaProdutos[Item], 0)), "")</f>
        <v/>
      </c>
      <c r="I2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9" spans="4:9">
      <c r="D209" s="1" t="str">
        <f>IFERROR(
INDEX(insumos[ID],MATCH(Ingredientes[[#This Row],[item]],insumos[item],0)),
IFERROR(
INDEX(CaProdutos[ID],MATCH(Ingredientes[[#This Row],[item]],CaProdutos[Item],0)),
""
))</f>
        <v/>
      </c>
      <c r="F209" s="1"/>
      <c r="G209" s="1" t="str">
        <f>IFERROR(
INDEX(insumos[medida],MATCH(Ingredientes[[#This Row],[item]],insumos[item],0)),
IFERROR(
IF(MATCH(Ingredientes[[#This Row],[item]],CaProdutos[Item],0)&gt;0,"Unidades",""),
""
))</f>
        <v/>
      </c>
      <c r="H209" s="1" t="str">
        <f>IFERROR(INDEX(CaProdutos[Un. Por Lote], MATCH(Ingredientes[[#This Row],[Produto]], CaProdutos[Item], 0)), "")</f>
        <v/>
      </c>
      <c r="I2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0" spans="4:9">
      <c r="D210" s="1" t="str">
        <f>IFERROR(
INDEX(insumos[ID],MATCH(Ingredientes[[#This Row],[item]],insumos[item],0)),
IFERROR(
INDEX(CaProdutos[ID],MATCH(Ingredientes[[#This Row],[item]],CaProdutos[Item],0)),
""
))</f>
        <v/>
      </c>
      <c r="F210" s="1"/>
      <c r="G210" s="1" t="str">
        <f>IFERROR(
INDEX(insumos[medida],MATCH(Ingredientes[[#This Row],[item]],insumos[item],0)),
IFERROR(
IF(MATCH(Ingredientes[[#This Row],[item]],CaProdutos[Item],0)&gt;0,"Unidades",""),
""
))</f>
        <v/>
      </c>
      <c r="H210" s="1" t="str">
        <f>IFERROR(INDEX(CaProdutos[Un. Por Lote], MATCH(Ingredientes[[#This Row],[Produto]], CaProdutos[Item], 0)), "")</f>
        <v/>
      </c>
      <c r="I2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1" spans="4:9">
      <c r="D211" s="1" t="str">
        <f>IFERROR(
INDEX(insumos[ID],MATCH(Ingredientes[[#This Row],[item]],insumos[item],0)),
IFERROR(
INDEX(CaProdutos[ID],MATCH(Ingredientes[[#This Row],[item]],CaProdutos[Item],0)),
""
))</f>
        <v/>
      </c>
      <c r="F211" s="1"/>
      <c r="G211" s="1" t="str">
        <f>IFERROR(
INDEX(insumos[medida],MATCH(Ingredientes[[#This Row],[item]],insumos[item],0)),
IFERROR(
IF(MATCH(Ingredientes[[#This Row],[item]],CaProdutos[Item],0)&gt;0,"Unidades",""),
""
))</f>
        <v/>
      </c>
      <c r="H211" s="1" t="str">
        <f>IFERROR(INDEX(CaProdutos[Un. Por Lote], MATCH(Ingredientes[[#This Row],[Produto]], CaProdutos[Item], 0)), "")</f>
        <v/>
      </c>
      <c r="I2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2" spans="4:9">
      <c r="D212" s="1" t="str">
        <f>IFERROR(
INDEX(insumos[ID],MATCH(Ingredientes[[#This Row],[item]],insumos[item],0)),
IFERROR(
INDEX(CaProdutos[ID],MATCH(Ingredientes[[#This Row],[item]],CaProdutos[Item],0)),
""
))</f>
        <v/>
      </c>
      <c r="F212" s="1"/>
      <c r="G212" s="1" t="str">
        <f>IFERROR(
INDEX(insumos[medida],MATCH(Ingredientes[[#This Row],[item]],insumos[item],0)),
IFERROR(
IF(MATCH(Ingredientes[[#This Row],[item]],CaProdutos[Item],0)&gt;0,"Unidades",""),
""
))</f>
        <v/>
      </c>
      <c r="H212" s="1" t="str">
        <f>IFERROR(INDEX(CaProdutos[Un. Por Lote], MATCH(Ingredientes[[#This Row],[Produto]], CaProdutos[Item], 0)), "")</f>
        <v/>
      </c>
      <c r="I2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3" spans="4:9">
      <c r="D213" s="1" t="str">
        <f>IFERROR(
INDEX(insumos[ID],MATCH(Ingredientes[[#This Row],[item]],insumos[item],0)),
IFERROR(
INDEX(CaProdutos[ID],MATCH(Ingredientes[[#This Row],[item]],CaProdutos[Item],0)),
""
))</f>
        <v/>
      </c>
      <c r="F213" s="1"/>
      <c r="G213" s="1" t="str">
        <f>IFERROR(
INDEX(insumos[medida],MATCH(Ingredientes[[#This Row],[item]],insumos[item],0)),
IFERROR(
IF(MATCH(Ingredientes[[#This Row],[item]],CaProdutos[Item],0)&gt;0,"Unidades",""),
""
))</f>
        <v/>
      </c>
      <c r="H213" s="1" t="str">
        <f>IFERROR(INDEX(CaProdutos[Un. Por Lote], MATCH(Ingredientes[[#This Row],[Produto]], CaProdutos[Item], 0)), "")</f>
        <v/>
      </c>
      <c r="I2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4" spans="4:9">
      <c r="D214" s="1" t="str">
        <f>IFERROR(
INDEX(insumos[ID],MATCH(Ingredientes[[#This Row],[item]],insumos[item],0)),
IFERROR(
INDEX(CaProdutos[ID],MATCH(Ingredientes[[#This Row],[item]],CaProdutos[Item],0)),
""
))</f>
        <v/>
      </c>
      <c r="F214" s="1"/>
      <c r="G214" s="1" t="str">
        <f>IFERROR(
INDEX(insumos[medida],MATCH(Ingredientes[[#This Row],[item]],insumos[item],0)),
IFERROR(
IF(MATCH(Ingredientes[[#This Row],[item]],CaProdutos[Item],0)&gt;0,"Unidades",""),
""
))</f>
        <v/>
      </c>
      <c r="H214" s="1" t="str">
        <f>IFERROR(INDEX(CaProdutos[Un. Por Lote], MATCH(Ingredientes[[#This Row],[Produto]], CaProdutos[Item], 0)), "")</f>
        <v/>
      </c>
      <c r="I2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5" spans="4:9">
      <c r="D215" s="1" t="str">
        <f>IFERROR(
INDEX(insumos[ID],MATCH(Ingredientes[[#This Row],[item]],insumos[item],0)),
IFERROR(
INDEX(CaProdutos[ID],MATCH(Ingredientes[[#This Row],[item]],CaProdutos[Item],0)),
""
))</f>
        <v/>
      </c>
      <c r="F215" s="1"/>
      <c r="G215" s="1" t="str">
        <f>IFERROR(
INDEX(insumos[medida],MATCH(Ingredientes[[#This Row],[item]],insumos[item],0)),
IFERROR(
IF(MATCH(Ingredientes[[#This Row],[item]],CaProdutos[Item],0)&gt;0,"Unidades",""),
""
))</f>
        <v/>
      </c>
      <c r="H215" s="1" t="str">
        <f>IFERROR(INDEX(CaProdutos[Un. Por Lote], MATCH(Ingredientes[[#This Row],[Produto]], CaProdutos[Item], 0)), "")</f>
        <v/>
      </c>
      <c r="I2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6" spans="4:9">
      <c r="D216" s="1" t="str">
        <f>IFERROR(
INDEX(insumos[ID],MATCH(Ingredientes[[#This Row],[item]],insumos[item],0)),
IFERROR(
INDEX(CaProdutos[ID],MATCH(Ingredientes[[#This Row],[item]],CaProdutos[Item],0)),
""
))</f>
        <v/>
      </c>
      <c r="F216" s="1"/>
      <c r="G216" s="1" t="str">
        <f>IFERROR(
INDEX(insumos[medida],MATCH(Ingredientes[[#This Row],[item]],insumos[item],0)),
IFERROR(
IF(MATCH(Ingredientes[[#This Row],[item]],CaProdutos[Item],0)&gt;0,"Unidades",""),
""
))</f>
        <v/>
      </c>
      <c r="H216" s="1" t="str">
        <f>IFERROR(INDEX(CaProdutos[Un. Por Lote], MATCH(Ingredientes[[#This Row],[Produto]], CaProdutos[Item], 0)), "")</f>
        <v/>
      </c>
      <c r="I2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7" spans="4:9">
      <c r="D217" s="1" t="str">
        <f>IFERROR(
INDEX(insumos[ID],MATCH(Ingredientes[[#This Row],[item]],insumos[item],0)),
IFERROR(
INDEX(CaProdutos[ID],MATCH(Ingredientes[[#This Row],[item]],CaProdutos[Item],0)),
""
))</f>
        <v/>
      </c>
      <c r="F217" s="1"/>
      <c r="G217" s="1" t="str">
        <f>IFERROR(
INDEX(insumos[medida],MATCH(Ingredientes[[#This Row],[item]],insumos[item],0)),
IFERROR(
IF(MATCH(Ingredientes[[#This Row],[item]],CaProdutos[Item],0)&gt;0,"Unidades",""),
""
))</f>
        <v/>
      </c>
      <c r="H217" s="1" t="str">
        <f>IFERROR(INDEX(CaProdutos[Un. Por Lote], MATCH(Ingredientes[[#This Row],[Produto]], CaProdutos[Item], 0)), "")</f>
        <v/>
      </c>
      <c r="I2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8" spans="4:9">
      <c r="D218" s="1" t="str">
        <f>IFERROR(
INDEX(insumos[ID],MATCH(Ingredientes[[#This Row],[item]],insumos[item],0)),
IFERROR(
INDEX(CaProdutos[ID],MATCH(Ingredientes[[#This Row],[item]],CaProdutos[Item],0)),
""
))</f>
        <v/>
      </c>
      <c r="F218" s="1"/>
      <c r="G218" s="1" t="str">
        <f>IFERROR(
INDEX(insumos[medida],MATCH(Ingredientes[[#This Row],[item]],insumos[item],0)),
IFERROR(
IF(MATCH(Ingredientes[[#This Row],[item]],CaProdutos[Item],0)&gt;0,"Unidades",""),
""
))</f>
        <v/>
      </c>
      <c r="H218" s="1" t="str">
        <f>IFERROR(INDEX(CaProdutos[Un. Por Lote], MATCH(Ingredientes[[#This Row],[Produto]], CaProdutos[Item], 0)), "")</f>
        <v/>
      </c>
      <c r="I2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9" spans="4:9">
      <c r="D219" s="1" t="str">
        <f>IFERROR(
INDEX(insumos[ID],MATCH(Ingredientes[[#This Row],[item]],insumos[item],0)),
IFERROR(
INDEX(CaProdutos[ID],MATCH(Ingredientes[[#This Row],[item]],CaProdutos[Item],0)),
""
))</f>
        <v/>
      </c>
      <c r="F219" s="1"/>
      <c r="G219" s="1" t="str">
        <f>IFERROR(
INDEX(insumos[medida],MATCH(Ingredientes[[#This Row],[item]],insumos[item],0)),
IFERROR(
IF(MATCH(Ingredientes[[#This Row],[item]],CaProdutos[Item],0)&gt;0,"Unidades",""),
""
))</f>
        <v/>
      </c>
      <c r="H219" s="1" t="str">
        <f>IFERROR(INDEX(CaProdutos[Un. Por Lote], MATCH(Ingredientes[[#This Row],[Produto]], CaProdutos[Item], 0)), "")</f>
        <v/>
      </c>
      <c r="I2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0" spans="4:9">
      <c r="D220" s="1" t="str">
        <f>IFERROR(
INDEX(insumos[ID],MATCH(Ingredientes[[#This Row],[item]],insumos[item],0)),
IFERROR(
INDEX(CaProdutos[ID],MATCH(Ingredientes[[#This Row],[item]],CaProdutos[Item],0)),
""
))</f>
        <v/>
      </c>
      <c r="F220" s="1"/>
      <c r="G220" s="1" t="str">
        <f>IFERROR(
INDEX(insumos[medida],MATCH(Ingredientes[[#This Row],[item]],insumos[item],0)),
IFERROR(
IF(MATCH(Ingredientes[[#This Row],[item]],CaProdutos[Item],0)&gt;0,"Unidades",""),
""
))</f>
        <v/>
      </c>
      <c r="H220" s="1" t="str">
        <f>IFERROR(INDEX(CaProdutos[Un. Por Lote], MATCH(Ingredientes[[#This Row],[Produto]], CaProdutos[Item], 0)), "")</f>
        <v/>
      </c>
      <c r="I2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1" spans="4:9">
      <c r="D221" s="1" t="str">
        <f>IFERROR(
INDEX(insumos[ID],MATCH(Ingredientes[[#This Row],[item]],insumos[item],0)),
IFERROR(
INDEX(CaProdutos[ID],MATCH(Ingredientes[[#This Row],[item]],CaProdutos[Item],0)),
""
))</f>
        <v/>
      </c>
      <c r="F221" s="1"/>
      <c r="G221" s="1" t="str">
        <f>IFERROR(
INDEX(insumos[medida],MATCH(Ingredientes[[#This Row],[item]],insumos[item],0)),
IFERROR(
IF(MATCH(Ingredientes[[#This Row],[item]],CaProdutos[Item],0)&gt;0,"Unidades",""),
""
))</f>
        <v/>
      </c>
      <c r="H221" s="1" t="str">
        <f>IFERROR(INDEX(CaProdutos[Un. Por Lote], MATCH(Ingredientes[[#This Row],[Produto]], CaProdutos[Item], 0)), "")</f>
        <v/>
      </c>
      <c r="I2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2" spans="4:9">
      <c r="D222" s="1" t="str">
        <f>IFERROR(
INDEX(insumos[ID],MATCH(Ingredientes[[#This Row],[item]],insumos[item],0)),
IFERROR(
INDEX(CaProdutos[ID],MATCH(Ingredientes[[#This Row],[item]],CaProdutos[Item],0)),
""
))</f>
        <v/>
      </c>
      <c r="F222" s="1"/>
      <c r="G222" s="1" t="str">
        <f>IFERROR(
INDEX(insumos[medida],MATCH(Ingredientes[[#This Row],[item]],insumos[item],0)),
IFERROR(
IF(MATCH(Ingredientes[[#This Row],[item]],CaProdutos[Item],0)&gt;0,"Unidades",""),
""
))</f>
        <v/>
      </c>
      <c r="H222" s="1" t="str">
        <f>IFERROR(INDEX(CaProdutos[Un. Por Lote], MATCH(Ingredientes[[#This Row],[Produto]], CaProdutos[Item], 0)), "")</f>
        <v/>
      </c>
      <c r="I2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3" spans="4:9">
      <c r="D223" s="1" t="str">
        <f>IFERROR(
INDEX(insumos[ID],MATCH(Ingredientes[[#This Row],[item]],insumos[item],0)),
IFERROR(
INDEX(CaProdutos[ID],MATCH(Ingredientes[[#This Row],[item]],CaProdutos[Item],0)),
""
))</f>
        <v/>
      </c>
      <c r="F223" s="1"/>
      <c r="G223" s="1" t="str">
        <f>IFERROR(
INDEX(insumos[medida],MATCH(Ingredientes[[#This Row],[item]],insumos[item],0)),
IFERROR(
IF(MATCH(Ingredientes[[#This Row],[item]],CaProdutos[Item],0)&gt;0,"Unidades",""),
""
))</f>
        <v/>
      </c>
      <c r="H223" s="1" t="str">
        <f>IFERROR(INDEX(CaProdutos[Un. Por Lote], MATCH(Ingredientes[[#This Row],[Produto]], CaProdutos[Item], 0)), "")</f>
        <v/>
      </c>
      <c r="I2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4" spans="4:9">
      <c r="D224" s="1" t="str">
        <f>IFERROR(
INDEX(insumos[ID],MATCH(Ingredientes[[#This Row],[item]],insumos[item],0)),
IFERROR(
INDEX(CaProdutos[ID],MATCH(Ingredientes[[#This Row],[item]],CaProdutos[Item],0)),
""
))</f>
        <v/>
      </c>
      <c r="F224" s="1"/>
      <c r="G224" s="1" t="str">
        <f>IFERROR(
INDEX(insumos[medida],MATCH(Ingredientes[[#This Row],[item]],insumos[item],0)),
IFERROR(
IF(MATCH(Ingredientes[[#This Row],[item]],CaProdutos[Item],0)&gt;0,"Unidades",""),
""
))</f>
        <v/>
      </c>
      <c r="H224" s="1" t="str">
        <f>IFERROR(INDEX(CaProdutos[Un. Por Lote], MATCH(Ingredientes[[#This Row],[Produto]], CaProdutos[Item], 0)), "")</f>
        <v/>
      </c>
      <c r="I2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5" spans="4:9">
      <c r="D225" s="1" t="str">
        <f>IFERROR(
INDEX(insumos[ID],MATCH(Ingredientes[[#This Row],[item]],insumos[item],0)),
IFERROR(
INDEX(CaProdutos[ID],MATCH(Ingredientes[[#This Row],[item]],CaProdutos[Item],0)),
""
))</f>
        <v/>
      </c>
      <c r="F225" s="1"/>
      <c r="G225" s="1" t="str">
        <f>IFERROR(
INDEX(insumos[medida],MATCH(Ingredientes[[#This Row],[item]],insumos[item],0)),
IFERROR(
IF(MATCH(Ingredientes[[#This Row],[item]],CaProdutos[Item],0)&gt;0,"Unidades",""),
""
))</f>
        <v/>
      </c>
      <c r="H225" s="1" t="str">
        <f>IFERROR(INDEX(CaProdutos[Un. Por Lote], MATCH(Ingredientes[[#This Row],[Produto]], CaProdutos[Item], 0)), "")</f>
        <v/>
      </c>
      <c r="I2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6" spans="4:9">
      <c r="D226" s="1" t="str">
        <f>IFERROR(
INDEX(insumos[ID],MATCH(Ingredientes[[#This Row],[item]],insumos[item],0)),
IFERROR(
INDEX(CaProdutos[ID],MATCH(Ingredientes[[#This Row],[item]],CaProdutos[Item],0)),
""
))</f>
        <v/>
      </c>
      <c r="F226" s="1"/>
      <c r="G226" s="1" t="str">
        <f>IFERROR(
INDEX(insumos[medida],MATCH(Ingredientes[[#This Row],[item]],insumos[item],0)),
IFERROR(
IF(MATCH(Ingredientes[[#This Row],[item]],CaProdutos[Item],0)&gt;0,"Unidades",""),
""
))</f>
        <v/>
      </c>
      <c r="H226" s="1" t="str">
        <f>IFERROR(INDEX(CaProdutos[Un. Por Lote], MATCH(Ingredientes[[#This Row],[Produto]], CaProdutos[Item], 0)), "")</f>
        <v/>
      </c>
      <c r="I2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7" spans="4:9">
      <c r="D227" s="1" t="str">
        <f>IFERROR(
INDEX(insumos[ID],MATCH(Ingredientes[[#This Row],[item]],insumos[item],0)),
IFERROR(
INDEX(CaProdutos[ID],MATCH(Ingredientes[[#This Row],[item]],CaProdutos[Item],0)),
""
))</f>
        <v/>
      </c>
      <c r="F227" s="1"/>
      <c r="G227" s="1" t="str">
        <f>IFERROR(
INDEX(insumos[medida],MATCH(Ingredientes[[#This Row],[item]],insumos[item],0)),
IFERROR(
IF(MATCH(Ingredientes[[#This Row],[item]],CaProdutos[Item],0)&gt;0,"Unidades",""),
""
))</f>
        <v/>
      </c>
      <c r="H227" s="1" t="str">
        <f>IFERROR(INDEX(CaProdutos[Un. Por Lote], MATCH(Ingredientes[[#This Row],[Produto]], CaProdutos[Item], 0)), "")</f>
        <v/>
      </c>
      <c r="I2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8" spans="4:9">
      <c r="D228" s="1" t="str">
        <f>IFERROR(
INDEX(insumos[ID],MATCH(Ingredientes[[#This Row],[item]],insumos[item],0)),
IFERROR(
INDEX(CaProdutos[ID],MATCH(Ingredientes[[#This Row],[item]],CaProdutos[Item],0)),
""
))</f>
        <v/>
      </c>
      <c r="F228" s="1"/>
      <c r="G228" s="1" t="str">
        <f>IFERROR(
INDEX(insumos[medida],MATCH(Ingredientes[[#This Row],[item]],insumos[item],0)),
IFERROR(
IF(MATCH(Ingredientes[[#This Row],[item]],CaProdutos[Item],0)&gt;0,"Unidades",""),
""
))</f>
        <v/>
      </c>
      <c r="H228" s="1" t="str">
        <f>IFERROR(INDEX(CaProdutos[Un. Por Lote], MATCH(Ingredientes[[#This Row],[Produto]], CaProdutos[Item], 0)), "")</f>
        <v/>
      </c>
      <c r="I2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9" spans="4:9">
      <c r="D229" s="1" t="str">
        <f>IFERROR(
INDEX(insumos[ID],MATCH(Ingredientes[[#This Row],[item]],insumos[item],0)),
IFERROR(
INDEX(CaProdutos[ID],MATCH(Ingredientes[[#This Row],[item]],CaProdutos[Item],0)),
""
))</f>
        <v/>
      </c>
      <c r="F229" s="1"/>
      <c r="G229" s="1" t="str">
        <f>IFERROR(
INDEX(insumos[medida],MATCH(Ingredientes[[#This Row],[item]],insumos[item],0)),
IFERROR(
IF(MATCH(Ingredientes[[#This Row],[item]],CaProdutos[Item],0)&gt;0,"Unidades",""),
""
))</f>
        <v/>
      </c>
      <c r="H229" s="1" t="str">
        <f>IFERROR(INDEX(CaProdutos[Un. Por Lote], MATCH(Ingredientes[[#This Row],[Produto]], CaProdutos[Item], 0)), "")</f>
        <v/>
      </c>
      <c r="I2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0" spans="4:9">
      <c r="D230" s="1" t="str">
        <f>IFERROR(
INDEX(insumos[ID],MATCH(Ingredientes[[#This Row],[item]],insumos[item],0)),
IFERROR(
INDEX(CaProdutos[ID],MATCH(Ingredientes[[#This Row],[item]],CaProdutos[Item],0)),
""
))</f>
        <v/>
      </c>
      <c r="F230" s="1"/>
      <c r="G230" s="1" t="str">
        <f>IFERROR(
INDEX(insumos[medida],MATCH(Ingredientes[[#This Row],[item]],insumos[item],0)),
IFERROR(
IF(MATCH(Ingredientes[[#This Row],[item]],CaProdutos[Item],0)&gt;0,"Unidades",""),
""
))</f>
        <v/>
      </c>
      <c r="H230" s="1" t="str">
        <f>IFERROR(INDEX(CaProdutos[Un. Por Lote], MATCH(Ingredientes[[#This Row],[Produto]], CaProdutos[Item], 0)), "")</f>
        <v/>
      </c>
      <c r="I2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1" spans="4:9">
      <c r="D231" s="1" t="str">
        <f>IFERROR(
INDEX(insumos[ID],MATCH(Ingredientes[[#This Row],[item]],insumos[item],0)),
IFERROR(
INDEX(CaProdutos[ID],MATCH(Ingredientes[[#This Row],[item]],CaProdutos[Item],0)),
""
))</f>
        <v/>
      </c>
      <c r="F231" s="1"/>
      <c r="G231" s="1" t="str">
        <f>IFERROR(
INDEX(insumos[medida],MATCH(Ingredientes[[#This Row],[item]],insumos[item],0)),
IFERROR(
IF(MATCH(Ingredientes[[#This Row],[item]],CaProdutos[Item],0)&gt;0,"Unidades",""),
""
))</f>
        <v/>
      </c>
      <c r="H231" s="1" t="str">
        <f>IFERROR(INDEX(CaProdutos[Un. Por Lote], MATCH(Ingredientes[[#This Row],[Produto]], CaProdutos[Item], 0)), "")</f>
        <v/>
      </c>
      <c r="I2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2" spans="4:9">
      <c r="D232" s="1" t="str">
        <f>IFERROR(
INDEX(insumos[ID],MATCH(Ingredientes[[#This Row],[item]],insumos[item],0)),
IFERROR(
INDEX(CaProdutos[ID],MATCH(Ingredientes[[#This Row],[item]],CaProdutos[Item],0)),
""
))</f>
        <v/>
      </c>
      <c r="F232" s="1"/>
      <c r="G232" s="1" t="str">
        <f>IFERROR(
INDEX(insumos[medida],MATCH(Ingredientes[[#This Row],[item]],insumos[item],0)),
IFERROR(
IF(MATCH(Ingredientes[[#This Row],[item]],CaProdutos[Item],0)&gt;0,"Unidades",""),
""
))</f>
        <v/>
      </c>
      <c r="H232" s="1" t="str">
        <f>IFERROR(INDEX(CaProdutos[Un. Por Lote], MATCH(Ingredientes[[#This Row],[Produto]], CaProdutos[Item], 0)), "")</f>
        <v/>
      </c>
      <c r="I2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3" spans="4:9">
      <c r="D233" s="1" t="str">
        <f>IFERROR(
INDEX(insumos[ID],MATCH(Ingredientes[[#This Row],[item]],insumos[item],0)),
IFERROR(
INDEX(CaProdutos[ID],MATCH(Ingredientes[[#This Row],[item]],CaProdutos[Item],0)),
""
))</f>
        <v/>
      </c>
      <c r="F233" s="1"/>
      <c r="G233" s="1" t="str">
        <f>IFERROR(
INDEX(insumos[medida],MATCH(Ingredientes[[#This Row],[item]],insumos[item],0)),
IFERROR(
IF(MATCH(Ingredientes[[#This Row],[item]],CaProdutos[Item],0)&gt;0,"Unidades",""),
""
))</f>
        <v/>
      </c>
      <c r="H233" s="1" t="str">
        <f>IFERROR(INDEX(CaProdutos[Un. Por Lote], MATCH(Ingredientes[[#This Row],[Produto]], CaProdutos[Item], 0)), "")</f>
        <v/>
      </c>
      <c r="I2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4" spans="4:9">
      <c r="D234" s="1" t="str">
        <f>IFERROR(
INDEX(insumos[ID],MATCH(Ingredientes[[#This Row],[item]],insumos[item],0)),
IFERROR(
INDEX(CaProdutos[ID],MATCH(Ingredientes[[#This Row],[item]],CaProdutos[Item],0)),
""
))</f>
        <v/>
      </c>
      <c r="F234" s="1"/>
      <c r="G234" s="1" t="str">
        <f>IFERROR(
INDEX(insumos[medida],MATCH(Ingredientes[[#This Row],[item]],insumos[item],0)),
IFERROR(
IF(MATCH(Ingredientes[[#This Row],[item]],CaProdutos[Item],0)&gt;0,"Unidades",""),
""
))</f>
        <v/>
      </c>
      <c r="H234" s="1" t="str">
        <f>IFERROR(INDEX(CaProdutos[Un. Por Lote], MATCH(Ingredientes[[#This Row],[Produto]], CaProdutos[Item], 0)), "")</f>
        <v/>
      </c>
      <c r="I2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5" spans="4:9">
      <c r="D235" s="1" t="str">
        <f>IFERROR(
INDEX(insumos[ID],MATCH(Ingredientes[[#This Row],[item]],insumos[item],0)),
IFERROR(
INDEX(CaProdutos[ID],MATCH(Ingredientes[[#This Row],[item]],CaProdutos[Item],0)),
""
))</f>
        <v/>
      </c>
      <c r="F235" s="1"/>
      <c r="G235" s="1" t="str">
        <f>IFERROR(
INDEX(insumos[medida],MATCH(Ingredientes[[#This Row],[item]],insumos[item],0)),
IFERROR(
IF(MATCH(Ingredientes[[#This Row],[item]],CaProdutos[Item],0)&gt;0,"Unidades",""),
""
))</f>
        <v/>
      </c>
      <c r="H235" s="1" t="str">
        <f>IFERROR(INDEX(CaProdutos[Un. Por Lote], MATCH(Ingredientes[[#This Row],[Produto]], CaProdutos[Item], 0)), "")</f>
        <v/>
      </c>
      <c r="I2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6" spans="4:9">
      <c r="D236" s="1" t="str">
        <f>IFERROR(
INDEX(insumos[ID],MATCH(Ingredientes[[#This Row],[item]],insumos[item],0)),
IFERROR(
INDEX(CaProdutos[ID],MATCH(Ingredientes[[#This Row],[item]],CaProdutos[Item],0)),
""
))</f>
        <v/>
      </c>
      <c r="F236" s="1"/>
      <c r="G236" s="1" t="str">
        <f>IFERROR(
INDEX(insumos[medida],MATCH(Ingredientes[[#This Row],[item]],insumos[item],0)),
IFERROR(
IF(MATCH(Ingredientes[[#This Row],[item]],CaProdutos[Item],0)&gt;0,"Unidades",""),
""
))</f>
        <v/>
      </c>
      <c r="H236" s="1" t="str">
        <f>IFERROR(INDEX(CaProdutos[Un. Por Lote], MATCH(Ingredientes[[#This Row],[Produto]], CaProdutos[Item], 0)), "")</f>
        <v/>
      </c>
      <c r="I2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7" spans="4:9">
      <c r="D237" s="1" t="str">
        <f>IFERROR(
INDEX(insumos[ID],MATCH(Ingredientes[[#This Row],[item]],insumos[item],0)),
IFERROR(
INDEX(CaProdutos[ID],MATCH(Ingredientes[[#This Row],[item]],CaProdutos[Item],0)),
""
))</f>
        <v/>
      </c>
      <c r="F237" s="1"/>
      <c r="G237" s="1" t="str">
        <f>IFERROR(
INDEX(insumos[medida],MATCH(Ingredientes[[#This Row],[item]],insumos[item],0)),
IFERROR(
IF(MATCH(Ingredientes[[#This Row],[item]],CaProdutos[Item],0)&gt;0,"Unidades",""),
""
))</f>
        <v/>
      </c>
      <c r="H237" s="1" t="str">
        <f>IFERROR(INDEX(CaProdutos[Un. Por Lote], MATCH(Ingredientes[[#This Row],[Produto]], CaProdutos[Item], 0)), "")</f>
        <v/>
      </c>
      <c r="I2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8" spans="4:9">
      <c r="D238" s="1" t="str">
        <f>IFERROR(
INDEX(insumos[ID],MATCH(Ingredientes[[#This Row],[item]],insumos[item],0)),
IFERROR(
INDEX(CaProdutos[ID],MATCH(Ingredientes[[#This Row],[item]],CaProdutos[Item],0)),
""
))</f>
        <v/>
      </c>
      <c r="F238" s="1"/>
      <c r="G238" s="1" t="str">
        <f>IFERROR(
INDEX(insumos[medida],MATCH(Ingredientes[[#This Row],[item]],insumos[item],0)),
IFERROR(
IF(MATCH(Ingredientes[[#This Row],[item]],CaProdutos[Item],0)&gt;0,"Unidades",""),
""
))</f>
        <v/>
      </c>
      <c r="H238" s="1" t="str">
        <f>IFERROR(INDEX(CaProdutos[Un. Por Lote], MATCH(Ingredientes[[#This Row],[Produto]], CaProdutos[Item], 0)), "")</f>
        <v/>
      </c>
      <c r="I2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9" spans="4:9">
      <c r="D239" s="1" t="str">
        <f>IFERROR(
INDEX(insumos[ID],MATCH(Ingredientes[[#This Row],[item]],insumos[item],0)),
IFERROR(
INDEX(CaProdutos[ID],MATCH(Ingredientes[[#This Row],[item]],CaProdutos[Item],0)),
""
))</f>
        <v/>
      </c>
      <c r="F239" s="1"/>
      <c r="G239" s="1" t="str">
        <f>IFERROR(
INDEX(insumos[medida],MATCH(Ingredientes[[#This Row],[item]],insumos[item],0)),
IFERROR(
IF(MATCH(Ingredientes[[#This Row],[item]],CaProdutos[Item],0)&gt;0,"Unidades",""),
""
))</f>
        <v/>
      </c>
      <c r="H239" s="1" t="str">
        <f>IFERROR(INDEX(CaProdutos[Un. Por Lote], MATCH(Ingredientes[[#This Row],[Produto]], CaProdutos[Item], 0)), "")</f>
        <v/>
      </c>
      <c r="I2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0" spans="4:9">
      <c r="D240" s="1" t="str">
        <f>IFERROR(
INDEX(insumos[ID],MATCH(Ingredientes[[#This Row],[item]],insumos[item],0)),
IFERROR(
INDEX(CaProdutos[ID],MATCH(Ingredientes[[#This Row],[item]],CaProdutos[Item],0)),
""
))</f>
        <v/>
      </c>
      <c r="F240" s="1"/>
      <c r="G240" s="1" t="str">
        <f>IFERROR(
INDEX(insumos[medida],MATCH(Ingredientes[[#This Row],[item]],insumos[item],0)),
IFERROR(
IF(MATCH(Ingredientes[[#This Row],[item]],CaProdutos[Item],0)&gt;0,"Unidades",""),
""
))</f>
        <v/>
      </c>
      <c r="H240" s="1" t="str">
        <f>IFERROR(INDEX(CaProdutos[Un. Por Lote], MATCH(Ingredientes[[#This Row],[Produto]], CaProdutos[Item], 0)), "")</f>
        <v/>
      </c>
      <c r="I2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1" spans="4:9">
      <c r="D241" s="1" t="str">
        <f>IFERROR(
INDEX(insumos[ID],MATCH(Ingredientes[[#This Row],[item]],insumos[item],0)),
IFERROR(
INDEX(CaProdutos[ID],MATCH(Ingredientes[[#This Row],[item]],CaProdutos[Item],0)),
""
))</f>
        <v/>
      </c>
      <c r="F241" s="1"/>
      <c r="G241" s="1" t="str">
        <f>IFERROR(
INDEX(insumos[medida],MATCH(Ingredientes[[#This Row],[item]],insumos[item],0)),
IFERROR(
IF(MATCH(Ingredientes[[#This Row],[item]],CaProdutos[Item],0)&gt;0,"Unidades",""),
""
))</f>
        <v/>
      </c>
      <c r="H241" s="1" t="str">
        <f>IFERROR(INDEX(CaProdutos[Un. Por Lote], MATCH(Ingredientes[[#This Row],[Produto]], CaProdutos[Item], 0)), "")</f>
        <v/>
      </c>
      <c r="I2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2" spans="4:9">
      <c r="D242" s="1" t="str">
        <f>IFERROR(
INDEX(insumos[ID],MATCH(Ingredientes[[#This Row],[item]],insumos[item],0)),
IFERROR(
INDEX(CaProdutos[ID],MATCH(Ingredientes[[#This Row],[item]],CaProdutos[Item],0)),
""
))</f>
        <v/>
      </c>
      <c r="F242" s="1"/>
      <c r="G242" s="1" t="str">
        <f>IFERROR(
INDEX(insumos[medida],MATCH(Ingredientes[[#This Row],[item]],insumos[item],0)),
IFERROR(
IF(MATCH(Ingredientes[[#This Row],[item]],CaProdutos[Item],0)&gt;0,"Unidades",""),
""
))</f>
        <v/>
      </c>
      <c r="H242" s="1" t="str">
        <f>IFERROR(INDEX(CaProdutos[Un. Por Lote], MATCH(Ingredientes[[#This Row],[Produto]], CaProdutos[Item], 0)), "")</f>
        <v/>
      </c>
      <c r="I2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3" spans="4:9">
      <c r="D243" s="1" t="str">
        <f>IFERROR(
INDEX(insumos[ID],MATCH(Ingredientes[[#This Row],[item]],insumos[item],0)),
IFERROR(
INDEX(CaProdutos[ID],MATCH(Ingredientes[[#This Row],[item]],CaProdutos[Item],0)),
""
))</f>
        <v/>
      </c>
      <c r="F243" s="1"/>
      <c r="G243" s="1" t="str">
        <f>IFERROR(
INDEX(insumos[medida],MATCH(Ingredientes[[#This Row],[item]],insumos[item],0)),
IFERROR(
IF(MATCH(Ingredientes[[#This Row],[item]],CaProdutos[Item],0)&gt;0,"Unidades",""),
""
))</f>
        <v/>
      </c>
      <c r="H243" s="1" t="str">
        <f>IFERROR(INDEX(CaProdutos[Un. Por Lote], MATCH(Ingredientes[[#This Row],[Produto]], CaProdutos[Item], 0)), "")</f>
        <v/>
      </c>
      <c r="I2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4" spans="4:9">
      <c r="D244" s="1" t="str">
        <f>IFERROR(
INDEX(insumos[ID],MATCH(Ingredientes[[#This Row],[item]],insumos[item],0)),
IFERROR(
INDEX(CaProdutos[ID],MATCH(Ingredientes[[#This Row],[item]],CaProdutos[Item],0)),
""
))</f>
        <v/>
      </c>
      <c r="F244" s="1"/>
      <c r="G244" s="1" t="str">
        <f>IFERROR(
INDEX(insumos[medida],MATCH(Ingredientes[[#This Row],[item]],insumos[item],0)),
IFERROR(
IF(MATCH(Ingredientes[[#This Row],[item]],CaProdutos[Item],0)&gt;0,"Unidades",""),
""
))</f>
        <v/>
      </c>
      <c r="H244" s="1" t="str">
        <f>IFERROR(INDEX(CaProdutos[Un. Por Lote], MATCH(Ingredientes[[#This Row],[Produto]], CaProdutos[Item], 0)), "")</f>
        <v/>
      </c>
      <c r="I2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5" spans="4:9">
      <c r="D245" s="1" t="str">
        <f>IFERROR(
INDEX(insumos[ID],MATCH(Ingredientes[[#This Row],[item]],insumos[item],0)),
IFERROR(
INDEX(CaProdutos[ID],MATCH(Ingredientes[[#This Row],[item]],CaProdutos[Item],0)),
""
))</f>
        <v/>
      </c>
      <c r="F245" s="1"/>
      <c r="G245" s="1" t="str">
        <f>IFERROR(
INDEX(insumos[medida],MATCH(Ingredientes[[#This Row],[item]],insumos[item],0)),
IFERROR(
IF(MATCH(Ingredientes[[#This Row],[item]],CaProdutos[Item],0)&gt;0,"Unidades",""),
""
))</f>
        <v/>
      </c>
      <c r="H245" s="1" t="str">
        <f>IFERROR(INDEX(CaProdutos[Un. Por Lote], MATCH(Ingredientes[[#This Row],[Produto]], CaProdutos[Item], 0)), "")</f>
        <v/>
      </c>
      <c r="I2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6" spans="4:9">
      <c r="D246" s="1" t="str">
        <f>IFERROR(
INDEX(insumos[ID],MATCH(Ingredientes[[#This Row],[item]],insumos[item],0)),
IFERROR(
INDEX(CaProdutos[ID],MATCH(Ingredientes[[#This Row],[item]],CaProdutos[Item],0)),
""
))</f>
        <v/>
      </c>
      <c r="F246" s="1"/>
      <c r="G246" s="1" t="str">
        <f>IFERROR(
INDEX(insumos[medida],MATCH(Ingredientes[[#This Row],[item]],insumos[item],0)),
IFERROR(
IF(MATCH(Ingredientes[[#This Row],[item]],CaProdutos[Item],0)&gt;0,"Unidades",""),
""
))</f>
        <v/>
      </c>
      <c r="H246" s="1" t="str">
        <f>IFERROR(INDEX(CaProdutos[Un. Por Lote], MATCH(Ingredientes[[#This Row],[Produto]], CaProdutos[Item], 0)), "")</f>
        <v/>
      </c>
      <c r="I2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7" spans="4:9">
      <c r="D247" s="1" t="str">
        <f>IFERROR(
INDEX(insumos[ID],MATCH(Ingredientes[[#This Row],[item]],insumos[item],0)),
IFERROR(
INDEX(CaProdutos[ID],MATCH(Ingredientes[[#This Row],[item]],CaProdutos[Item],0)),
""
))</f>
        <v/>
      </c>
      <c r="F247" s="1"/>
      <c r="G247" s="1" t="str">
        <f>IFERROR(
INDEX(insumos[medida],MATCH(Ingredientes[[#This Row],[item]],insumos[item],0)),
IFERROR(
IF(MATCH(Ingredientes[[#This Row],[item]],CaProdutos[Item],0)&gt;0,"Unidades",""),
""
))</f>
        <v/>
      </c>
      <c r="H247" s="1" t="str">
        <f>IFERROR(INDEX(CaProdutos[Un. Por Lote], MATCH(Ingredientes[[#This Row],[Produto]], CaProdutos[Item], 0)), "")</f>
        <v/>
      </c>
      <c r="I2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8" spans="4:9">
      <c r="D248" s="1" t="str">
        <f>IFERROR(
INDEX(insumos[ID],MATCH(Ingredientes[[#This Row],[item]],insumos[item],0)),
IFERROR(
INDEX(CaProdutos[ID],MATCH(Ingredientes[[#This Row],[item]],CaProdutos[Item],0)),
""
))</f>
        <v/>
      </c>
      <c r="F248" s="1"/>
      <c r="G248" s="1" t="str">
        <f>IFERROR(
INDEX(insumos[medida],MATCH(Ingredientes[[#This Row],[item]],insumos[item],0)),
IFERROR(
IF(MATCH(Ingredientes[[#This Row],[item]],CaProdutos[Item],0)&gt;0,"Unidades",""),
""
))</f>
        <v/>
      </c>
      <c r="H248" s="1" t="str">
        <f>IFERROR(INDEX(CaProdutos[Un. Por Lote], MATCH(Ingredientes[[#This Row],[Produto]], CaProdutos[Item], 0)), "")</f>
        <v/>
      </c>
      <c r="I2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9" spans="4:9">
      <c r="D249" s="1" t="str">
        <f>IFERROR(
INDEX(insumos[ID],MATCH(Ingredientes[[#This Row],[item]],insumos[item],0)),
IFERROR(
INDEX(CaProdutos[ID],MATCH(Ingredientes[[#This Row],[item]],CaProdutos[Item],0)),
""
))</f>
        <v/>
      </c>
      <c r="F249" s="1"/>
      <c r="G249" s="1" t="str">
        <f>IFERROR(
INDEX(insumos[medida],MATCH(Ingredientes[[#This Row],[item]],insumos[item],0)),
IFERROR(
IF(MATCH(Ingredientes[[#This Row],[item]],CaProdutos[Item],0)&gt;0,"Unidades",""),
""
))</f>
        <v/>
      </c>
      <c r="H249" s="1" t="str">
        <f>IFERROR(INDEX(CaProdutos[Un. Por Lote], MATCH(Ingredientes[[#This Row],[Produto]], CaProdutos[Item], 0)), "")</f>
        <v/>
      </c>
      <c r="I2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0" spans="4:9">
      <c r="D250" s="1" t="str">
        <f>IFERROR(
INDEX(insumos[ID],MATCH(Ingredientes[[#This Row],[item]],insumos[item],0)),
IFERROR(
INDEX(CaProdutos[ID],MATCH(Ingredientes[[#This Row],[item]],CaProdutos[Item],0)),
""
))</f>
        <v/>
      </c>
      <c r="F250" s="1"/>
      <c r="G250" s="1" t="str">
        <f>IFERROR(
INDEX(insumos[medida],MATCH(Ingredientes[[#This Row],[item]],insumos[item],0)),
IFERROR(
IF(MATCH(Ingredientes[[#This Row],[item]],CaProdutos[Item],0)&gt;0,"Unidades",""),
""
))</f>
        <v/>
      </c>
      <c r="H250" s="1" t="str">
        <f>IFERROR(INDEX(CaProdutos[Un. Por Lote], MATCH(Ingredientes[[#This Row],[Produto]], CaProdutos[Item], 0)), "")</f>
        <v/>
      </c>
      <c r="I2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1" spans="4:9">
      <c r="D251" s="1" t="str">
        <f>IFERROR(
INDEX(insumos[ID],MATCH(Ingredientes[[#This Row],[item]],insumos[item],0)),
IFERROR(
INDEX(CaProdutos[ID],MATCH(Ingredientes[[#This Row],[item]],CaProdutos[Item],0)),
""
))</f>
        <v/>
      </c>
      <c r="F251" s="1"/>
      <c r="G251" s="1" t="str">
        <f>IFERROR(
INDEX(insumos[medida],MATCH(Ingredientes[[#This Row],[item]],insumos[item],0)),
IFERROR(
IF(MATCH(Ingredientes[[#This Row],[item]],CaProdutos[Item],0)&gt;0,"Unidades",""),
""
))</f>
        <v/>
      </c>
      <c r="H251" s="1" t="str">
        <f>IFERROR(INDEX(CaProdutos[Un. Por Lote], MATCH(Ingredientes[[#This Row],[Produto]], CaProdutos[Item], 0)), "")</f>
        <v/>
      </c>
      <c r="I2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2" spans="4:9">
      <c r="D252" s="1" t="str">
        <f>IFERROR(
INDEX(insumos[ID],MATCH(Ingredientes[[#This Row],[item]],insumos[item],0)),
IFERROR(
INDEX(CaProdutos[ID],MATCH(Ingredientes[[#This Row],[item]],CaProdutos[Item],0)),
""
))</f>
        <v/>
      </c>
      <c r="F252" s="1"/>
      <c r="G252" s="1" t="str">
        <f>IFERROR(
INDEX(insumos[medida],MATCH(Ingredientes[[#This Row],[item]],insumos[item],0)),
IFERROR(
IF(MATCH(Ingredientes[[#This Row],[item]],CaProdutos[Item],0)&gt;0,"Unidades",""),
""
))</f>
        <v/>
      </c>
      <c r="H252" s="1" t="str">
        <f>IFERROR(INDEX(CaProdutos[Un. Por Lote], MATCH(Ingredientes[[#This Row],[Produto]], CaProdutos[Item], 0)), "")</f>
        <v/>
      </c>
      <c r="I2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3" spans="4:9">
      <c r="D253" s="1" t="str">
        <f>IFERROR(
INDEX(insumos[ID],MATCH(Ingredientes[[#This Row],[item]],insumos[item],0)),
IFERROR(
INDEX(CaProdutos[ID],MATCH(Ingredientes[[#This Row],[item]],CaProdutos[Item],0)),
""
))</f>
        <v/>
      </c>
      <c r="F253" s="1"/>
      <c r="G253" s="1" t="str">
        <f>IFERROR(
INDEX(insumos[medida],MATCH(Ingredientes[[#This Row],[item]],insumos[item],0)),
IFERROR(
IF(MATCH(Ingredientes[[#This Row],[item]],CaProdutos[Item],0)&gt;0,"Unidades",""),
""
))</f>
        <v/>
      </c>
      <c r="H253" s="1" t="str">
        <f>IFERROR(INDEX(CaProdutos[Un. Por Lote], MATCH(Ingredientes[[#This Row],[Produto]], CaProdutos[Item], 0)), "")</f>
        <v/>
      </c>
      <c r="I2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4" spans="4:9">
      <c r="D254" s="1" t="str">
        <f>IFERROR(
INDEX(insumos[ID],MATCH(Ingredientes[[#This Row],[item]],insumos[item],0)),
IFERROR(
INDEX(CaProdutos[ID],MATCH(Ingredientes[[#This Row],[item]],CaProdutos[Item],0)),
""
))</f>
        <v/>
      </c>
      <c r="F254" s="1"/>
      <c r="G254" s="1" t="str">
        <f>IFERROR(
INDEX(insumos[medida],MATCH(Ingredientes[[#This Row],[item]],insumos[item],0)),
IFERROR(
IF(MATCH(Ingredientes[[#This Row],[item]],CaProdutos[Item],0)&gt;0,"Unidades",""),
""
))</f>
        <v/>
      </c>
      <c r="H254" s="1" t="str">
        <f>IFERROR(INDEX(CaProdutos[Un. Por Lote], MATCH(Ingredientes[[#This Row],[Produto]], CaProdutos[Item], 0)), "")</f>
        <v/>
      </c>
      <c r="I2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5" spans="4:9">
      <c r="D255" s="1" t="str">
        <f>IFERROR(
INDEX(insumos[ID],MATCH(Ingredientes[[#This Row],[item]],insumos[item],0)),
IFERROR(
INDEX(CaProdutos[ID],MATCH(Ingredientes[[#This Row],[item]],CaProdutos[Item],0)),
""
))</f>
        <v/>
      </c>
      <c r="F255" s="1"/>
      <c r="G255" s="1" t="str">
        <f>IFERROR(
INDEX(insumos[medida],MATCH(Ingredientes[[#This Row],[item]],insumos[item],0)),
IFERROR(
IF(MATCH(Ingredientes[[#This Row],[item]],CaProdutos[Item],0)&gt;0,"Unidades",""),
""
))</f>
        <v/>
      </c>
      <c r="H255" s="1" t="str">
        <f>IFERROR(INDEX(CaProdutos[Un. Por Lote], MATCH(Ingredientes[[#This Row],[Produto]], CaProdutos[Item], 0)), "")</f>
        <v/>
      </c>
      <c r="I2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6" spans="4:9">
      <c r="D256" s="1" t="str">
        <f>IFERROR(
INDEX(insumos[ID],MATCH(Ingredientes[[#This Row],[item]],insumos[item],0)),
IFERROR(
INDEX(CaProdutos[ID],MATCH(Ingredientes[[#This Row],[item]],CaProdutos[Item],0)),
""
))</f>
        <v/>
      </c>
      <c r="F256" s="1"/>
      <c r="G256" s="1" t="str">
        <f>IFERROR(
INDEX(insumos[medida],MATCH(Ingredientes[[#This Row],[item]],insumos[item],0)),
IFERROR(
IF(MATCH(Ingredientes[[#This Row],[item]],CaProdutos[Item],0)&gt;0,"Unidades",""),
""
))</f>
        <v/>
      </c>
      <c r="H256" s="1" t="str">
        <f>IFERROR(INDEX(CaProdutos[Un. Por Lote], MATCH(Ingredientes[[#This Row],[Produto]], CaProdutos[Item], 0)), "")</f>
        <v/>
      </c>
      <c r="I2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7" spans="3:9">
      <c r="D257" s="1" t="str">
        <f>IFERROR(
INDEX(insumos[ID],MATCH(Ingredientes[[#This Row],[item]],insumos[item],0)),
IFERROR(
INDEX(CaProdutos[ID],MATCH(Ingredientes[[#This Row],[item]],CaProdutos[Item],0)),
""
))</f>
        <v/>
      </c>
      <c r="F257" s="1"/>
      <c r="G257" s="1" t="str">
        <f>IFERROR(
INDEX(insumos[medida],MATCH(Ingredientes[[#This Row],[item]],insumos[item],0)),
IFERROR(
IF(MATCH(Ingredientes[[#This Row],[item]],CaProdutos[Item],0)&gt;0,"Unidades",""),
""
))</f>
        <v/>
      </c>
      <c r="H257" s="1" t="str">
        <f>IFERROR(INDEX(CaProdutos[Un. Por Lote], MATCH(Ingredientes[[#This Row],[Produto]], CaProdutos[Item], 0)), "")</f>
        <v/>
      </c>
      <c r="I2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8" spans="3:9">
      <c r="D258" s="1" t="str">
        <f>IFERROR(
INDEX(insumos[ID],MATCH(Ingredientes[[#This Row],[item]],insumos[item],0)),
IFERROR(
INDEX(CaProdutos[ID],MATCH(Ingredientes[[#This Row],[item]],CaProdutos[Item],0)),
""
))</f>
        <v/>
      </c>
      <c r="F258" s="1"/>
      <c r="G258" s="1" t="str">
        <f>IFERROR(
INDEX(insumos[medida],MATCH(Ingredientes[[#This Row],[item]],insumos[item],0)),
IFERROR(
IF(MATCH(Ingredientes[[#This Row],[item]],CaProdutos[Item],0)&gt;0,"Unidades",""),
""
))</f>
        <v/>
      </c>
      <c r="H258" s="1" t="str">
        <f>IFERROR(INDEX(CaProdutos[Un. Por Lote], MATCH(Ingredientes[[#This Row],[Produto]], CaProdutos[Item], 0)), "")</f>
        <v/>
      </c>
      <c r="I2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9" spans="3:9">
      <c r="D259" s="1" t="str">
        <f>IFERROR(
INDEX(insumos[ID],MATCH(Ingredientes[[#This Row],[item]],insumos[item],0)),
IFERROR(
INDEX(CaProdutos[ID],MATCH(Ingredientes[[#This Row],[item]],CaProdutos[Item],0)),
""
))</f>
        <v/>
      </c>
      <c r="F259" s="1"/>
      <c r="G259" s="1" t="str">
        <f>IFERROR(
INDEX(insumos[medida],MATCH(Ingredientes[[#This Row],[item]],insumos[item],0)),
IFERROR(
IF(MATCH(Ingredientes[[#This Row],[item]],CaProdutos[Item],0)&gt;0,"Unidades",""),
""
))</f>
        <v/>
      </c>
      <c r="H259" s="1" t="str">
        <f>IFERROR(INDEX(CaProdutos[Un. Por Lote], MATCH(Ingredientes[[#This Row],[Produto]], CaProdutos[Item], 0)), "")</f>
        <v/>
      </c>
      <c r="I2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0" spans="3:9">
      <c r="D260" s="1" t="str">
        <f>IFERROR(
INDEX(insumos[ID],MATCH(Ingredientes[[#This Row],[item]],insumos[item],0)),
IFERROR(
INDEX(CaProdutos[ID],MATCH(Ingredientes[[#This Row],[item]],CaProdutos[Item],0)),
""
))</f>
        <v/>
      </c>
      <c r="F260" s="1"/>
      <c r="G260" s="1" t="str">
        <f>IFERROR(
INDEX(insumos[medida],MATCH(Ingredientes[[#This Row],[item]],insumos[item],0)),
IFERROR(
IF(MATCH(Ingredientes[[#This Row],[item]],CaProdutos[Item],0)&gt;0,"Unidades",""),
""
))</f>
        <v/>
      </c>
      <c r="H260" s="1" t="str">
        <f>IFERROR(INDEX(CaProdutos[Un. Por Lote], MATCH(Ingredientes[[#This Row],[Produto]], CaProdutos[Item], 0)), "")</f>
        <v/>
      </c>
      <c r="I2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1" spans="3:9">
      <c r="D261" s="1" t="str">
        <f>IFERROR(
INDEX(insumos[ID],MATCH(Ingredientes[[#This Row],[item]],insumos[item],0)),
IFERROR(
INDEX(CaProdutos[ID],MATCH(Ingredientes[[#This Row],[item]],CaProdutos[Item],0)),
""
))</f>
        <v/>
      </c>
      <c r="F261" s="1"/>
      <c r="G261" s="1" t="str">
        <f>IFERROR(
INDEX(insumos[medida],MATCH(Ingredientes[[#This Row],[item]],insumos[item],0)),
IFERROR(
IF(MATCH(Ingredientes[[#This Row],[item]],CaProdutos[Item],0)&gt;0,"Unidades",""),
""
))</f>
        <v/>
      </c>
      <c r="H261" s="1" t="str">
        <f>IFERROR(INDEX(CaProdutos[Un. Por Lote], MATCH(Ingredientes[[#This Row],[Produto]], CaProdutos[Item], 0)), "")</f>
        <v/>
      </c>
      <c r="I2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2" spans="3:9">
      <c r="D262" s="1" t="str">
        <f>IFERROR(
INDEX(insumos[ID],MATCH(Ingredientes[[#This Row],[item]],insumos[item],0)),
IFERROR(
INDEX(CaProdutos[ID],MATCH(Ingredientes[[#This Row],[item]],CaProdutos[Item],0)),
""
))</f>
        <v/>
      </c>
      <c r="F262" s="1"/>
      <c r="G262" s="1" t="str">
        <f>IFERROR(
INDEX(insumos[medida],MATCH(Ingredientes[[#This Row],[item]],insumos[item],0)),
IFERROR(
IF(MATCH(Ingredientes[[#This Row],[item]],CaProdutos[Item],0)&gt;0,"Unidades",""),
""
))</f>
        <v/>
      </c>
      <c r="H262" s="1" t="str">
        <f>IFERROR(INDEX(CaProdutos[Un. Por Lote], MATCH(Ingredientes[[#This Row],[Produto]], CaProdutos[Item], 0)), "")</f>
        <v/>
      </c>
      <c r="I2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3" spans="3:9">
      <c r="C263" t="s">
        <v>11</v>
      </c>
      <c r="D263" s="1"/>
      <c r="F263" s="1"/>
      <c r="G263" s="1"/>
      <c r="H263" s="1"/>
      <c r="I263" s="20">
        <f>SUBTOTAL(109,Ingredientes[preço])</f>
        <v>105.34463447936102</v>
      </c>
    </row>
  </sheetData>
  <mergeCells count="3">
    <mergeCell ref="Z118:Z120"/>
    <mergeCell ref="Z121:Z122"/>
    <mergeCell ref="C3:I3"/>
  </mergeCells>
  <phoneticPr fontId="12" type="noConversion"/>
  <dataValidations count="3">
    <dataValidation type="list" allowBlank="1" showInputMessage="1" showErrorMessage="1" sqref="D5:D262" xr:uid="{2232F03F-88C2-4938-BFD4-A195E9DB5CAF}">
      <formula1>INDIRECT("insumos[ID]")</formula1>
    </dataValidation>
    <dataValidation type="list" allowBlank="1" showInputMessage="1" showErrorMessage="1" sqref="G5:G262" xr:uid="{B6C1E447-0BA9-44AE-A36C-B13F8F684EC0}">
      <formula1>INDIRECT("Variáveis[Medidas]")</formula1>
    </dataValidation>
    <dataValidation type="list" allowBlank="1" showInputMessage="1" showErrorMessage="1" sqref="C5:C262" xr:uid="{75D39025-3229-4D9F-9FDD-921714AC8CFA}">
      <formula1>INDIRECT("CaProdutos[item]")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7170" r:id="rId3" name="cmbFichaTecnica">
          <controlPr defaultSize="0" autoLine="0" linkedCell="#REF!" r:id="rId4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228600</xdr:colOff>
                <xdr:row>17</xdr:row>
                <xdr:rowOff>0</xdr:rowOff>
              </to>
            </anchor>
          </controlPr>
        </control>
      </mc:Choice>
      <mc:Fallback>
        <control shapeId="7170" r:id="rId3" name="cmbFichaTecnica"/>
      </mc:Fallback>
    </mc:AlternateContent>
    <mc:AlternateContent xmlns:mc="http://schemas.openxmlformats.org/markup-compatibility/2006">
      <mc:Choice Requires="x14">
        <control shapeId="7172" r:id="rId5" name="cmbAutocompleteFicha">
          <controlPr defaultSize="0" autoLine="0" r:id="rId6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72" r:id="rId5" name="cmbAutocompleteFicha"/>
      </mc:Fallback>
    </mc:AlternateContent>
    <mc:AlternateContent xmlns:mc="http://schemas.openxmlformats.org/markup-compatibility/2006">
      <mc:Choice Requires="x14">
        <control shapeId="7173" r:id="rId7" name="txtAutocompleteFicha">
          <controlPr defaultSize="0" autoLine="0" r:id="rId8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1581150</xdr:colOff>
                <xdr:row>26</xdr:row>
                <xdr:rowOff>0</xdr:rowOff>
              </to>
            </anchor>
          </controlPr>
        </control>
      </mc:Choice>
      <mc:Fallback>
        <control shapeId="7173" r:id="rId7" name="txtAutocompleteFicha"/>
      </mc:Fallback>
    </mc:AlternateContent>
    <mc:AlternateContent xmlns:mc="http://schemas.openxmlformats.org/markup-compatibility/2006">
      <mc:Choice Requires="x14">
        <control shapeId="7174" r:id="rId9" name="btnAutocompleteFicha">
          <controlPr defaultSize="0" autoLine="0" r:id="rId10">
            <anchor moveWithCells="1" sizeWithCells="1">
              <from>
                <xdr:col>4</xdr:col>
                <xdr:colOff>1581150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7174" r:id="rId9" name="btnAutocompleteFicha"/>
      </mc:Fallback>
    </mc:AlternateContent>
    <mc:AlternateContent xmlns:mc="http://schemas.openxmlformats.org/markup-compatibility/2006">
      <mc:Choice Requires="x14">
        <control shapeId="7175" r:id="rId11" name="lstAutocompleteFicha">
          <controlPr defaultSize="0" autoLine="0" r:id="rId1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85725</xdr:rowOff>
              </to>
            </anchor>
          </controlPr>
        </control>
      </mc:Choice>
      <mc:Fallback>
        <control shapeId="7175" r:id="rId11" name="lstAutocompleteFicha"/>
      </mc:Fallback>
    </mc:AlternateContent>
  </controls>
  <tableParts count="1"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C0CBE3-99BF-4AF0-81BF-84B7B2F00CC9}">
          <x14:formula1>
            <xm:f>insumos!$C:$C</xm:f>
          </x14:formula1>
          <xm:sqref>E5:E14 E16 E23:E262</xm:sqref>
        </x14:dataValidation>
        <x14:dataValidation type="list" allowBlank="1" showDropDown="1" showInputMessage="1" showErrorMessage="1" xr:uid="{42A36089-3B22-4215-A036-8DC7359D7EB2}">
          <x14:formula1>
            <xm:f>insumos!$C:$C</xm:f>
          </x14:formula1>
          <xm:sqref>E15 E17:E22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089A-3E8F-4F64-AE9F-27BE5C2E54C8}">
  <sheetPr codeName="Planilha15"/>
  <dimension ref="B4:G48"/>
  <sheetViews>
    <sheetView topLeftCell="A4" zoomScale="85" zoomScaleNormal="85" workbookViewId="0">
      <selection activeCell="D21" sqref="D21"/>
    </sheetView>
  </sheetViews>
  <sheetFormatPr defaultRowHeight="15"/>
  <cols>
    <col min="3" max="4" width="44.7109375" customWidth="1"/>
    <col min="5" max="7" width="15.7109375" customWidth="1"/>
  </cols>
  <sheetData>
    <row r="4" spans="2:7">
      <c r="B4" t="s">
        <v>4</v>
      </c>
      <c r="C4" t="s">
        <v>51</v>
      </c>
      <c r="D4" t="s">
        <v>240</v>
      </c>
      <c r="E4" t="s">
        <v>48</v>
      </c>
      <c r="F4" t="s">
        <v>47</v>
      </c>
      <c r="G4" t="s">
        <v>59</v>
      </c>
    </row>
    <row r="5" spans="2:7">
      <c r="B5">
        <f>IFERROR(
INDEX(CaProdutos[ID],MATCH(Embalamento[[#This Row],[Produto]],CaProdutos[Item],0)),
""
)</f>
        <v>1</v>
      </c>
      <c r="C5" t="s">
        <v>196</v>
      </c>
      <c r="D5" t="s">
        <v>244</v>
      </c>
      <c r="E5">
        <v>1</v>
      </c>
      <c r="F5" t="str">
        <f>IFERROR(
INDEX(Embalagens[medida],MATCH(Embalamento[[#This Row],[Embalagem]],Embalagens[item],0)), "")</f>
        <v>Unidades</v>
      </c>
      <c r="G5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6" spans="2:7">
      <c r="B6">
        <f>IFERROR(
INDEX(CaProdutos[ID],MATCH(Embalamento[[#This Row],[Produto]],CaProdutos[Item],0)),
""
)</f>
        <v>1</v>
      </c>
      <c r="C6" t="s">
        <v>196</v>
      </c>
      <c r="D6" t="s">
        <v>246</v>
      </c>
      <c r="E6">
        <v>2</v>
      </c>
      <c r="F6" t="str">
        <f>IFERROR(
INDEX(Embalagens[medida],MATCH(Embalamento[[#This Row],[Embalagem]],Embalagens[item],0)), "")</f>
        <v>Unidades</v>
      </c>
      <c r="G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7" spans="2:7">
      <c r="B7">
        <f>IFERROR(
INDEX(CaProdutos[ID],MATCH(Embalamento[[#This Row],[Produto]],CaProdutos[Item],0)),
""
)</f>
        <v>1</v>
      </c>
      <c r="C7" t="s">
        <v>196</v>
      </c>
      <c r="D7" t="s">
        <v>247</v>
      </c>
      <c r="E7">
        <v>0.3</v>
      </c>
      <c r="F7" t="str">
        <f>IFERROR(
INDEX(Embalagens[medida],MATCH(Embalamento[[#This Row],[Embalagem]],Embalagens[item],0)), "")</f>
        <v>Metros</v>
      </c>
      <c r="G7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8" spans="2:7">
      <c r="B8">
        <f>IFERROR(
INDEX(CaProdutos[ID],MATCH(Embalamento[[#This Row],[Produto]],CaProdutos[Item],0)),
""
)</f>
        <v>1</v>
      </c>
      <c r="C8" t="s">
        <v>196</v>
      </c>
      <c r="D8" t="s">
        <v>169</v>
      </c>
      <c r="E8">
        <v>6</v>
      </c>
      <c r="F8" t="str">
        <f>IFERROR(
INDEX(Embalagens[medida],MATCH(Embalamento[[#This Row],[Embalagem]],Embalagens[item],0)), "")</f>
        <v>Unidades</v>
      </c>
      <c r="G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9" spans="2:7">
      <c r="B9">
        <f>IFERROR(
INDEX(CaProdutos[ID],MATCH(Embalamento[[#This Row],[Produto]],CaProdutos[Item],0)),
""
)</f>
        <v>3</v>
      </c>
      <c r="C9" t="s">
        <v>198</v>
      </c>
      <c r="D9" t="s">
        <v>244</v>
      </c>
      <c r="E9">
        <v>1</v>
      </c>
      <c r="F9" t="str">
        <f>IFERROR(
INDEX(Embalagens[medida],MATCH(Embalamento[[#This Row],[Embalagem]],Embalagens[item],0)), "")</f>
        <v>Unidades</v>
      </c>
      <c r="G9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0" spans="2:7">
      <c r="B10">
        <f>IFERROR(
INDEX(CaProdutos[ID],MATCH(Embalamento[[#This Row],[Produto]],CaProdutos[Item],0)),
""
)</f>
        <v>3</v>
      </c>
      <c r="C10" t="s">
        <v>198</v>
      </c>
      <c r="D10" t="s">
        <v>246</v>
      </c>
      <c r="E10">
        <v>2</v>
      </c>
      <c r="F10" t="str">
        <f>IFERROR(
INDEX(Embalagens[medida],MATCH(Embalamento[[#This Row],[Embalagem]],Embalagens[item],0)), "")</f>
        <v>Unidades</v>
      </c>
      <c r="G1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1" spans="2:7">
      <c r="B11">
        <f>IFERROR(
INDEX(CaProdutos[ID],MATCH(Embalamento[[#This Row],[Produto]],CaProdutos[Item],0)),
""
)</f>
        <v>3</v>
      </c>
      <c r="C11" t="s">
        <v>198</v>
      </c>
      <c r="D11" t="s">
        <v>247</v>
      </c>
      <c r="E11">
        <v>0.3</v>
      </c>
      <c r="F11" t="str">
        <f>IFERROR(
INDEX(Embalagens[medida],MATCH(Embalamento[[#This Row],[Embalagem]],Embalagens[item],0)), "")</f>
        <v>Metros</v>
      </c>
      <c r="G11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2" spans="2:7">
      <c r="B12">
        <f>IFERROR(
INDEX(CaProdutos[ID],MATCH(Embalamento[[#This Row],[Produto]],CaProdutos[Item],0)),
""
)</f>
        <v>3</v>
      </c>
      <c r="C12" t="s">
        <v>198</v>
      </c>
      <c r="D12" t="s">
        <v>169</v>
      </c>
      <c r="E12">
        <v>6</v>
      </c>
      <c r="F12" t="str">
        <f>IFERROR(
INDEX(Embalagens[medida],MATCH(Embalamento[[#This Row],[Embalagem]],Embalagens[item],0)), "")</f>
        <v>Unidades</v>
      </c>
      <c r="G12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13" spans="2:7">
      <c r="B13">
        <f>IFERROR(
INDEX(CaProdutos[ID],MATCH(Embalamento[[#This Row],[Produto]],CaProdutos[Item],0)),
""
)</f>
        <v>8</v>
      </c>
      <c r="C13" t="s">
        <v>209</v>
      </c>
      <c r="D13" t="s">
        <v>244</v>
      </c>
      <c r="E13">
        <v>1</v>
      </c>
      <c r="F13" t="str">
        <f>IFERROR(
INDEX(Embalagens[medida],MATCH(Embalamento[[#This Row],[Embalagem]],Embalagens[item],0)), "")</f>
        <v>Unidades</v>
      </c>
      <c r="G13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4" spans="2:7">
      <c r="B14">
        <f>IFERROR(
INDEX(CaProdutos[ID],MATCH(Embalamento[[#This Row],[Produto]],CaProdutos[Item],0)),
""
)</f>
        <v>8</v>
      </c>
      <c r="C14" t="s">
        <v>209</v>
      </c>
      <c r="D14" t="s">
        <v>246</v>
      </c>
      <c r="E14">
        <v>2</v>
      </c>
      <c r="F14" t="str">
        <f>IFERROR(
INDEX(Embalagens[medida],MATCH(Embalamento[[#This Row],[Embalagem]],Embalagens[item],0)), "")</f>
        <v>Unidades</v>
      </c>
      <c r="G14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5" spans="2:7">
      <c r="B15">
        <f>IFERROR(
INDEX(CaProdutos[ID],MATCH(Embalamento[[#This Row],[Produto]],CaProdutos[Item],0)),
""
)</f>
        <v>8</v>
      </c>
      <c r="C15" t="s">
        <v>209</v>
      </c>
      <c r="D15" t="s">
        <v>247</v>
      </c>
      <c r="E15">
        <v>0.3</v>
      </c>
      <c r="F15" t="str">
        <f>IFERROR(
INDEX(Embalagens[medida],MATCH(Embalamento[[#This Row],[Embalagem]],Embalagens[item],0)), "")</f>
        <v>Metros</v>
      </c>
      <c r="G15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6" spans="2:7">
      <c r="B16">
        <f>IFERROR(
INDEX(CaProdutos[ID],MATCH(Embalamento[[#This Row],[Produto]],CaProdutos[Item],0)),
""
)</f>
        <v>8</v>
      </c>
      <c r="C16" t="s">
        <v>209</v>
      </c>
      <c r="D16" t="s">
        <v>169</v>
      </c>
      <c r="E16">
        <v>2</v>
      </c>
      <c r="F16" t="str">
        <f>IFERROR(
INDEX(Embalagens[medida],MATCH(Embalamento[[#This Row],[Embalagem]],Embalagens[item],0)), "")</f>
        <v>Unidades</v>
      </c>
      <c r="G1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17" spans="2:7">
      <c r="B17">
        <f>IFERROR(
INDEX(CaProdutos[ID],MATCH(Embalamento[[#This Row],[Produto]],CaProdutos[Item],0)),
""
)</f>
        <v>9</v>
      </c>
      <c r="C17" t="s">
        <v>199</v>
      </c>
      <c r="D17" t="s">
        <v>244</v>
      </c>
      <c r="E17">
        <v>1</v>
      </c>
      <c r="F17" t="str">
        <f>IFERROR(
INDEX(Embalagens[medida],MATCH(Embalamento[[#This Row],[Embalagem]],Embalagens[item],0)), "")</f>
        <v>Unidades</v>
      </c>
      <c r="G17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8" spans="2:7">
      <c r="B18">
        <f>IFERROR(
INDEX(CaProdutos[ID],MATCH(Embalamento[[#This Row],[Produto]],CaProdutos[Item],0)),
""
)</f>
        <v>9</v>
      </c>
      <c r="C18" t="s">
        <v>199</v>
      </c>
      <c r="D18" t="s">
        <v>246</v>
      </c>
      <c r="E18">
        <v>2</v>
      </c>
      <c r="F18" t="str">
        <f>IFERROR(
INDEX(Embalagens[medida],MATCH(Embalamento[[#This Row],[Embalagem]],Embalagens[item],0)), "")</f>
        <v>Unidades</v>
      </c>
      <c r="G1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9" spans="2:7">
      <c r="B19">
        <f>IFERROR(
INDEX(CaProdutos[ID],MATCH(Embalamento[[#This Row],[Produto]],CaProdutos[Item],0)),
""
)</f>
        <v>9</v>
      </c>
      <c r="C19" t="s">
        <v>199</v>
      </c>
      <c r="D19" t="s">
        <v>247</v>
      </c>
      <c r="E19">
        <v>0.3</v>
      </c>
      <c r="F19" t="str">
        <f>IFERROR(
INDEX(Embalagens[medida],MATCH(Embalamento[[#This Row],[Embalagem]],Embalagens[item],0)), "")</f>
        <v>Metros</v>
      </c>
      <c r="G19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20" spans="2:7">
      <c r="B20">
        <f>IFERROR(
INDEX(CaProdutos[ID],MATCH(Embalamento[[#This Row],[Produto]],CaProdutos[Item],0)),
""
)</f>
        <v>9</v>
      </c>
      <c r="C20" t="s">
        <v>199</v>
      </c>
      <c r="D20" t="s">
        <v>169</v>
      </c>
      <c r="E20">
        <v>2</v>
      </c>
      <c r="F20" t="str">
        <f>IFERROR(
INDEX(Embalagens[medida],MATCH(Embalamento[[#This Row],[Embalagem]],Embalagens[item],0)), "")</f>
        <v>Unidades</v>
      </c>
      <c r="G2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21" spans="2:7">
      <c r="B21" t="str">
        <f>IFERROR(
INDEX(CaProdutos[ID],MATCH(Embalamento[[#This Row],[Produto]],CaProdutos[Item],0)),
""
)</f>
        <v/>
      </c>
      <c r="F21" t="str">
        <f>IFERROR(
INDEX(Embalagens[medida],MATCH(Embalamento[[#This Row],[Embalagem]],Embalagens[item],0)), "")</f>
        <v/>
      </c>
      <c r="G2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2" spans="2:7">
      <c r="B22" t="str">
        <f>IFERROR(
INDEX(CaProdutos[ID],MATCH(Embalamento[[#This Row],[Produto]],CaProdutos[Item],0)),
""
)</f>
        <v/>
      </c>
      <c r="F22" t="str">
        <f>IFERROR(
INDEX(Embalagens[medida],MATCH(Embalamento[[#This Row],[Embalagem]],Embalagens[item],0)), "")</f>
        <v/>
      </c>
      <c r="G2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3" spans="2:7">
      <c r="B23" t="str">
        <f>IFERROR(
INDEX(CaProdutos[ID],MATCH(Embalamento[[#This Row],[Produto]],CaProdutos[Item],0)),
""
)</f>
        <v/>
      </c>
      <c r="F23" t="str">
        <f>IFERROR(
INDEX(Embalagens[medida],MATCH(Embalamento[[#This Row],[Embalagem]],Embalagens[item],0)), "")</f>
        <v/>
      </c>
      <c r="G2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4" spans="2:7">
      <c r="B24" t="str">
        <f>IFERROR(
INDEX(CaProdutos[ID],MATCH(Embalamento[[#This Row],[Produto]],CaProdutos[Item],0)),
""
)</f>
        <v/>
      </c>
      <c r="F24" t="str">
        <f>IFERROR(
INDEX(Embalagens[medida],MATCH(Embalamento[[#This Row],[Embalagem]],Embalagens[item],0)), "")</f>
        <v/>
      </c>
      <c r="G2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5" spans="2:7">
      <c r="B25" t="str">
        <f>IFERROR(
INDEX(CaProdutos[ID],MATCH(Embalamento[[#This Row],[Produto]],CaProdutos[Item],0)),
""
)</f>
        <v/>
      </c>
      <c r="F25" t="str">
        <f>IFERROR(
INDEX(Embalagens[medida],MATCH(Embalamento[[#This Row],[Embalagem]],Embalagens[item],0)), "")</f>
        <v/>
      </c>
      <c r="G2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6" spans="2:7">
      <c r="B26" t="str">
        <f>IFERROR(
INDEX(CaProdutos[ID],MATCH(Embalamento[[#This Row],[Produto]],CaProdutos[Item],0)),
""
)</f>
        <v/>
      </c>
      <c r="F26" t="str">
        <f>IFERROR(
INDEX(Embalagens[medida],MATCH(Embalamento[[#This Row],[Embalagem]],Embalagens[item],0)), "")</f>
        <v/>
      </c>
      <c r="G2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7" spans="2:7">
      <c r="B27" t="str">
        <f>IFERROR(
INDEX(CaProdutos[ID],MATCH(Embalamento[[#This Row],[Produto]],CaProdutos[Item],0)),
""
)</f>
        <v/>
      </c>
      <c r="F27" t="str">
        <f>IFERROR(
INDEX(Embalagens[medida],MATCH(Embalamento[[#This Row],[Embalagem]],Embalagens[item],0)), "")</f>
        <v/>
      </c>
      <c r="G2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8" spans="2:7">
      <c r="B28" t="str">
        <f>IFERROR(
INDEX(CaProdutos[ID],MATCH(Embalamento[[#This Row],[Produto]],CaProdutos[Item],0)),
""
)</f>
        <v/>
      </c>
      <c r="F28" t="str">
        <f>IFERROR(
INDEX(Embalagens[medida],MATCH(Embalamento[[#This Row],[Embalagem]],Embalagens[item],0)), "")</f>
        <v/>
      </c>
      <c r="G2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9" spans="2:7">
      <c r="B29" t="str">
        <f>IFERROR(
INDEX(CaProdutos[ID],MATCH(Embalamento[[#This Row],[Produto]],CaProdutos[Item],0)),
""
)</f>
        <v/>
      </c>
      <c r="F29" t="str">
        <f>IFERROR(
INDEX(Embalagens[medida],MATCH(Embalamento[[#This Row],[Embalagem]],Embalagens[item],0)), "")</f>
        <v/>
      </c>
      <c r="G2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0" spans="2:7">
      <c r="B30" t="str">
        <f>IFERROR(
INDEX(CaProdutos[ID],MATCH(Embalamento[[#This Row],[Produto]],CaProdutos[Item],0)),
""
)</f>
        <v/>
      </c>
      <c r="F30" t="str">
        <f>IFERROR(
INDEX(Embalagens[medida],MATCH(Embalamento[[#This Row],[Embalagem]],Embalagens[item],0)), "")</f>
        <v/>
      </c>
      <c r="G3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1" spans="2:7">
      <c r="B31" t="str">
        <f>IFERROR(
INDEX(CaProdutos[ID],MATCH(Embalamento[[#This Row],[Produto]],CaProdutos[Item],0)),
""
)</f>
        <v/>
      </c>
      <c r="F31" t="str">
        <f>IFERROR(
INDEX(Embalagens[medida],MATCH(Embalamento[[#This Row],[Embalagem]],Embalagens[item],0)), "")</f>
        <v/>
      </c>
      <c r="G3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2" spans="2:7">
      <c r="B32" t="str">
        <f>IFERROR(
INDEX(CaProdutos[ID],MATCH(Embalamento[[#This Row],[Produto]],CaProdutos[Item],0)),
""
)</f>
        <v/>
      </c>
      <c r="F32" t="str">
        <f>IFERROR(
INDEX(Embalagens[medida],MATCH(Embalamento[[#This Row],[Embalagem]],Embalagens[item],0)), "")</f>
        <v/>
      </c>
      <c r="G3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3" spans="2:7">
      <c r="B33" t="str">
        <f>IFERROR(
INDEX(CaProdutos[ID],MATCH(Embalamento[[#This Row],[Produto]],CaProdutos[Item],0)),
""
)</f>
        <v/>
      </c>
      <c r="F33" t="str">
        <f>IFERROR(
INDEX(Embalagens[medida],MATCH(Embalamento[[#This Row],[Embalagem]],Embalagens[item],0)), "")</f>
        <v/>
      </c>
      <c r="G3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4" spans="2:7">
      <c r="B34" t="str">
        <f>IFERROR(
INDEX(CaProdutos[ID],MATCH(Embalamento[[#This Row],[Produto]],CaProdutos[Item],0)),
""
)</f>
        <v/>
      </c>
      <c r="F34" t="str">
        <f>IFERROR(
INDEX(Embalagens[medida],MATCH(Embalamento[[#This Row],[Embalagem]],Embalagens[item],0)), "")</f>
        <v/>
      </c>
      <c r="G3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5" spans="2:7">
      <c r="B35" t="str">
        <f>IFERROR(
INDEX(CaProdutos[ID],MATCH(Embalamento[[#This Row],[Produto]],CaProdutos[Item],0)),
""
)</f>
        <v/>
      </c>
      <c r="F35" t="str">
        <f>IFERROR(
INDEX(Embalagens[medida],MATCH(Embalamento[[#This Row],[Embalagem]],Embalagens[item],0)), "")</f>
        <v/>
      </c>
      <c r="G3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6" spans="2:7">
      <c r="B36" t="str">
        <f>IFERROR(
INDEX(CaProdutos[ID],MATCH(Embalamento[[#This Row],[Produto]],CaProdutos[Item],0)),
""
)</f>
        <v/>
      </c>
      <c r="F36" t="str">
        <f>IFERROR(
INDEX(Embalagens[medida],MATCH(Embalamento[[#This Row],[Embalagem]],Embalagens[item],0)), "")</f>
        <v/>
      </c>
      <c r="G3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7" spans="2:7">
      <c r="B37" t="str">
        <f>IFERROR(
INDEX(CaProdutos[ID],MATCH(Embalamento[[#This Row],[Produto]],CaProdutos[Item],0)),
""
)</f>
        <v/>
      </c>
      <c r="F37" t="str">
        <f>IFERROR(
INDEX(Embalagens[medida],MATCH(Embalamento[[#This Row],[Embalagem]],Embalagens[item],0)), "")</f>
        <v/>
      </c>
      <c r="G3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8" spans="2:7">
      <c r="B38" t="str">
        <f>IFERROR(
INDEX(CaProdutos[ID],MATCH(Embalamento[[#This Row],[Produto]],CaProdutos[Item],0)),
""
)</f>
        <v/>
      </c>
      <c r="F38" t="str">
        <f>IFERROR(
INDEX(Embalagens[medida],MATCH(Embalamento[[#This Row],[Embalagem]],Embalagens[item],0)), "")</f>
        <v/>
      </c>
      <c r="G3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9" spans="2:7">
      <c r="B39" t="str">
        <f>IFERROR(
INDEX(CaProdutos[ID],MATCH(Embalamento[[#This Row],[Produto]],CaProdutos[Item],0)),
""
)</f>
        <v/>
      </c>
      <c r="F39" t="str">
        <f>IFERROR(
INDEX(Embalagens[medida],MATCH(Embalamento[[#This Row],[Embalagem]],Embalagens[item],0)), "")</f>
        <v/>
      </c>
      <c r="G3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0" spans="2:7">
      <c r="B40" t="str">
        <f>IFERROR(
INDEX(CaProdutos[ID],MATCH(Embalamento[[#This Row],[Produto]],CaProdutos[Item],0)),
""
)</f>
        <v/>
      </c>
      <c r="F40" t="str">
        <f>IFERROR(
INDEX(Embalagens[medida],MATCH(Embalamento[[#This Row],[Embalagem]],Embalagens[item],0)), "")</f>
        <v/>
      </c>
      <c r="G4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1" spans="2:7">
      <c r="B41" t="str">
        <f>IFERROR(
INDEX(CaProdutos[ID],MATCH(Embalamento[[#This Row],[Produto]],CaProdutos[Item],0)),
""
)</f>
        <v/>
      </c>
      <c r="F41" t="str">
        <f>IFERROR(
INDEX(Embalagens[medida],MATCH(Embalamento[[#This Row],[Embalagem]],Embalagens[item],0)), "")</f>
        <v/>
      </c>
      <c r="G4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2" spans="2:7">
      <c r="B42" t="str">
        <f>IFERROR(
INDEX(CaProdutos[ID],MATCH(Embalamento[[#This Row],[Produto]],CaProdutos[Item],0)),
""
)</f>
        <v/>
      </c>
      <c r="F42" t="str">
        <f>IFERROR(
INDEX(Embalagens[medida],MATCH(Embalamento[[#This Row],[Embalagem]],Embalagens[item],0)), "")</f>
        <v/>
      </c>
      <c r="G4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3" spans="2:7">
      <c r="B43" t="str">
        <f>IFERROR(
INDEX(CaProdutos[ID],MATCH(Embalamento[[#This Row],[Produto]],CaProdutos[Item],0)),
""
)</f>
        <v/>
      </c>
      <c r="F43" t="str">
        <f>IFERROR(
INDEX(Embalagens[medida],MATCH(Embalamento[[#This Row],[Embalagem]],Embalagens[item],0)), "")</f>
        <v/>
      </c>
      <c r="G4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4" spans="2:7">
      <c r="B44" t="str">
        <f>IFERROR(
INDEX(CaProdutos[ID],MATCH(Embalamento[[#This Row],[Produto]],CaProdutos[Item],0)),
""
)</f>
        <v/>
      </c>
      <c r="F44" t="str">
        <f>IFERROR(
INDEX(Embalagens[medida],MATCH(Embalamento[[#This Row],[Embalagem]],Embalagens[item],0)), "")</f>
        <v/>
      </c>
      <c r="G4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5" spans="2:7">
      <c r="B45" t="str">
        <f>IFERROR(
INDEX(CaProdutos[ID],MATCH(Embalamento[[#This Row],[Produto]],CaProdutos[Item],0)),
""
)</f>
        <v/>
      </c>
      <c r="F45" t="str">
        <f>IFERROR(
INDEX(Embalagens[medida],MATCH(Embalamento[[#This Row],[Embalagem]],Embalagens[item],0)), "")</f>
        <v/>
      </c>
      <c r="G4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6" spans="2:7">
      <c r="B46" t="str">
        <f>IFERROR(
INDEX(CaProdutos[ID],MATCH(Embalamento[[#This Row],[Produto]],CaProdutos[Item],0)),
""
)</f>
        <v/>
      </c>
      <c r="F46" t="str">
        <f>IFERROR(
INDEX(Embalagens[medida],MATCH(Embalamento[[#This Row],[Embalagem]],Embalagens[item],0)), "")</f>
        <v/>
      </c>
      <c r="G4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7" spans="2:7">
      <c r="B47" t="str">
        <f>IFERROR(
INDEX(CaProdutos[ID],MATCH(Embalamento[[#This Row],[Produto]],CaProdutos[Item],0)),
""
)</f>
        <v/>
      </c>
      <c r="F47" t="str">
        <f>IFERROR(
INDEX(Embalagens[medida],MATCH(Embalamento[[#This Row],[Embalagem]],Embalagens[item],0)), "")</f>
        <v/>
      </c>
      <c r="G4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8" spans="2:7">
      <c r="B48" t="str">
        <f>IFERROR(
INDEX(CaProdutos[ID],MATCH(Embalamento[[#This Row],[Produto]],CaProdutos[Item],0)),
""
)</f>
        <v/>
      </c>
      <c r="F48" t="str">
        <f>IFERROR(
INDEX(Embalagens[medida],MATCH(Embalamento[[#This Row],[Embalagem]],Embalagens[item],0)), "")</f>
        <v/>
      </c>
      <c r="G4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</sheetData>
  <dataValidations count="2">
    <dataValidation type="list" allowBlank="1" showInputMessage="1" showErrorMessage="1" sqref="C5:C48" xr:uid="{55F26A23-016F-45F6-A9E3-02852A7B3746}">
      <formula1>INDIRECT("CaProdutos[item]")</formula1>
    </dataValidation>
    <dataValidation type="list" allowBlank="1" showInputMessage="1" showErrorMessage="1" sqref="D5:D48" xr:uid="{246189D8-D99A-49C9-92FA-923EDF24EBEC}">
      <formula1>INDIRECT("Embalagens[Item]")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B32AA-B65C-4367-BF40-4D3BE629E098}">
  <sheetPr codeName="Planilha16"/>
  <dimension ref="B4:K122"/>
  <sheetViews>
    <sheetView zoomScale="85" zoomScaleNormal="85" workbookViewId="0">
      <selection activeCell="C1" sqref="C1:C1048576"/>
    </sheetView>
  </sheetViews>
  <sheetFormatPr defaultRowHeight="15"/>
  <cols>
    <col min="2" max="2" width="5.7109375" bestFit="1" customWidth="1"/>
    <col min="3" max="3" width="44.7109375" bestFit="1" customWidth="1"/>
    <col min="4" max="4" width="12.28515625" bestFit="1" customWidth="1"/>
    <col min="5" max="5" width="13.42578125" bestFit="1" customWidth="1"/>
    <col min="6" max="6" width="10" bestFit="1" customWidth="1"/>
    <col min="7" max="7" width="11.7109375" hidden="1" customWidth="1"/>
    <col min="8" max="8" width="10.7109375" hidden="1" customWidth="1"/>
    <col min="9" max="11" width="12.2851562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241</v>
      </c>
      <c r="D5" s="13">
        <v>0.05</v>
      </c>
      <c r="E5" s="46">
        <v>1</v>
      </c>
      <c r="F5" t="s">
        <v>55</v>
      </c>
      <c r="G5" s="13">
        <f>IF(Embalagens[preço] &lt;&gt; "", Embalagens[[#This Row],[preço]] / IF(Embalagens[[#This Row],[medida]] = "unidades", Embalagens[[#This Row],[quantidade]], 1), "")</f>
        <v>0.05</v>
      </c>
      <c r="H5" s="13" t="str">
        <f>IFERROR(Embalagens[[#This Row],[preço]] / (Embalagens[quantidade] / IF(Embalagens[[#This Row],[medida]] = "Gramas", 1000, IF(Embalagens[[#This Row],[medida]] = "Quilos", 1, 0))), "")</f>
        <v/>
      </c>
      <c r="I5" s="45" t="str">
        <f>IFERROR(Embalagens[[#This Row],[preço]] / (Embalagens[quantidade] * IF(Embalagens[[#This Row],[medida]] = "Gramas", 1, IF(Embalagens[[#This Row],[medida]] = "Quilos", 1000, 0))), "")</f>
        <v/>
      </c>
      <c r="J5" s="45" t="str">
        <f>IFERROR(Embalagens[[#This Row],[preço]] / (Embalagens[quantidade] / IF(Embalagens[[#This Row],[medida]] = "ML", 1000, IF(Embalagens[[#This Row],[medida]] = "Litros", 1, 0))), "")</f>
        <v/>
      </c>
      <c r="K5" s="45" t="str">
        <f>IFERROR(Embalagens[[#This Row],[preço]] / (Embalagens[quantidade] * IF(Embalagens[[#This Row],[medida]] = "ML", 1, IF(Embalagens[[#This Row],[medida]] = "Litros", 1000, 0))), "")</f>
        <v/>
      </c>
    </row>
    <row r="6" spans="2:11">
      <c r="B6">
        <v>11</v>
      </c>
      <c r="C6" t="s">
        <v>242</v>
      </c>
      <c r="D6" s="13">
        <v>0.1</v>
      </c>
      <c r="E6" s="46">
        <v>1</v>
      </c>
      <c r="F6" t="s">
        <v>55</v>
      </c>
      <c r="G6" s="13">
        <f>IF(Embalagens[preço] &lt;&gt; "", Embalagens[[#This Row],[preço]] / IF(Embalagens[[#This Row],[medida]] = "unidades", Embalagens[[#This Row],[quantidade]], 1), "")</f>
        <v>0.1</v>
      </c>
      <c r="H6" s="13" t="str">
        <f>IFERROR(Embalagens[[#This Row],[preço]] / (Embalagens[quantidade] / IF(Embalagens[[#This Row],[medida]] = "Gramas", 1000, IF(Embalagens[[#This Row],[medida]] = "Quilos", 1, 0))), "")</f>
        <v/>
      </c>
      <c r="I6" s="45" t="str">
        <f>IFERROR(Embalagens[[#This Row],[preço]] / (Embalagens[quantidade] * IF(Embalagens[[#This Row],[medida]] = "Gramas", 1, IF(Embalagens[[#This Row],[medida]] = "Quilos", 1000, 0))), "")</f>
        <v/>
      </c>
      <c r="J6" s="45" t="str">
        <f>IFERROR(Embalagens[[#This Row],[preço]] / (Embalagens[quantidade] / IF(Embalagens[[#This Row],[medida]] = "ML", 1000, IF(Embalagens[[#This Row],[medida]] = "Litros", 1, 0))), "")</f>
        <v/>
      </c>
      <c r="K6" s="45" t="str">
        <f>IFERROR(Embalagens[[#This Row],[preço]] / (Embalagens[quantidade] * IF(Embalagens[[#This Row],[medida]] = "ML", 1, IF(Embalagens[[#This Row],[medida]] = "Litros", 1000, 0))), "")</f>
        <v/>
      </c>
    </row>
    <row r="7" spans="2:11">
      <c r="B7">
        <v>6</v>
      </c>
      <c r="C7" t="s">
        <v>243</v>
      </c>
      <c r="D7" s="13">
        <v>0.15</v>
      </c>
      <c r="E7" s="46">
        <v>1</v>
      </c>
      <c r="F7" t="s">
        <v>55</v>
      </c>
      <c r="G7" s="13">
        <f>IF(Embalagens[preço] &lt;&gt; "", Embalagens[[#This Row],[preço]] / IF(Embalagens[[#This Row],[medida]] = "unidades", Embalagens[[#This Row],[quantidade]], 1), "")</f>
        <v>0.15</v>
      </c>
      <c r="H7" s="13" t="str">
        <f>IFERROR(Embalagens[[#This Row],[preço]] / (Embalagens[quantidade] / IF(Embalagens[[#This Row],[medida]] = "Gramas", 1000, IF(Embalagens[[#This Row],[medida]] = "Quilos", 1, 0))), "")</f>
        <v/>
      </c>
      <c r="I7" s="45" t="str">
        <f>IFERROR(Embalagens[[#This Row],[preço]] / (Embalagens[quantidade] * IF(Embalagens[[#This Row],[medida]] = "Gramas", 1, IF(Embalagens[[#This Row],[medida]] = "Quilos", 1000, 0))), "")</f>
        <v/>
      </c>
      <c r="J7" s="45" t="str">
        <f>IFERROR(Embalagens[[#This Row],[preço]] / (Embalagens[quantidade] / IF(Embalagens[[#This Row],[medida]] = "ML", 1000, IF(Embalagens[[#This Row],[medida]] = "Litros", 1, 0))), "")</f>
        <v/>
      </c>
      <c r="K7" s="45" t="str">
        <f>IFERROR(Embalagens[[#This Row],[preço]] / (Embalagens[quantidade] * IF(Embalagens[[#This Row],[medida]] = "ML", 1, IF(Embalagens[[#This Row],[medida]] = "Litros", 1000, 0))), "")</f>
        <v/>
      </c>
    </row>
    <row r="8" spans="2:11">
      <c r="B8">
        <v>45</v>
      </c>
      <c r="C8" t="s">
        <v>244</v>
      </c>
      <c r="D8" s="13">
        <v>1</v>
      </c>
      <c r="E8" s="46">
        <v>1</v>
      </c>
      <c r="F8" t="s">
        <v>55</v>
      </c>
      <c r="G8" s="13">
        <f>IF(Embalagens[preço] &lt;&gt; "", Embalagens[[#This Row],[preço]] / IF(Embalagens[[#This Row],[medida]] = "unidades", Embalagens[[#This Row],[quantidade]], 1), "")</f>
        <v>1</v>
      </c>
      <c r="H8" s="13" t="str">
        <f>IFERROR(Embalagens[[#This Row],[preço]] / (Embalagens[quantidade] / IF(Embalagens[[#This Row],[medida]] = "Gramas", 1000, IF(Embalagens[[#This Row],[medida]] = "Quilos", 1, 0))), "")</f>
        <v/>
      </c>
      <c r="I8" s="45" t="str">
        <f>IFERROR(Embalagens[[#This Row],[preço]] / (Embalagens[quantidade] * IF(Embalagens[[#This Row],[medida]] = "Gramas", 1, IF(Embalagens[[#This Row],[medida]] = "Quilos", 1000, 0))), "")</f>
        <v/>
      </c>
      <c r="J8" s="45" t="str">
        <f>IFERROR(Embalagens[[#This Row],[preço]] / (Embalagens[quantidade] / IF(Embalagens[[#This Row],[medida]] = "ML", 1000, IF(Embalagens[[#This Row],[medida]] = "Litros", 1, 0))), "")</f>
        <v/>
      </c>
      <c r="K8" s="45" t="str">
        <f>IFERROR(Embalagens[[#This Row],[preço]] / (Embalagens[quantidade] * IF(Embalagens[[#This Row],[medida]] = "ML", 1, IF(Embalagens[[#This Row],[medida]] = "Litros", 1000, 0))), "")</f>
        <v/>
      </c>
    </row>
    <row r="9" spans="2:11">
      <c r="B9">
        <v>35</v>
      </c>
      <c r="C9" t="s">
        <v>245</v>
      </c>
      <c r="D9" s="13">
        <v>0.3</v>
      </c>
      <c r="E9" s="46">
        <v>1</v>
      </c>
      <c r="F9" t="s">
        <v>55</v>
      </c>
      <c r="G9" s="13">
        <f>IF(Embalagens[preço] &lt;&gt; "", Embalagens[[#This Row],[preço]] / IF(Embalagens[[#This Row],[medida]] = "unidades", Embalagens[[#This Row],[quantidade]], 1), "")</f>
        <v>0.3</v>
      </c>
      <c r="H9" s="13" t="str">
        <f>IFERROR(Embalagens[[#This Row],[preço]] / (Embalagens[quantidade] / IF(Embalagens[[#This Row],[medida]] = "Gramas", 1000, IF(Embalagens[[#This Row],[medida]] = "Quilos", 1, 0))), "")</f>
        <v/>
      </c>
      <c r="I9" s="45" t="str">
        <f>IFERROR(Embalagens[[#This Row],[preço]] / (Embalagens[quantidade] * IF(Embalagens[[#This Row],[medida]] = "Gramas", 1, IF(Embalagens[[#This Row],[medida]] = "Quilos", 1000, 0))), "")</f>
        <v/>
      </c>
      <c r="J9" s="45" t="str">
        <f>IFERROR(Embalagens[[#This Row],[preço]] / (Embalagens[quantidade] / IF(Embalagens[[#This Row],[medida]] = "ML", 1000, IF(Embalagens[[#This Row],[medida]] = "Litros", 1, 0))), "")</f>
        <v/>
      </c>
      <c r="K9" s="45" t="str">
        <f>IFERROR(Embalagens[[#This Row],[preço]] / (Embalagens[quantidade] * IF(Embalagens[[#This Row],[medida]] = "ML", 1, IF(Embalagens[[#This Row],[medida]] = "Litros", 1000, 0))), "")</f>
        <v/>
      </c>
    </row>
    <row r="10" spans="2:11">
      <c r="B10">
        <v>44</v>
      </c>
      <c r="C10" t="s">
        <v>246</v>
      </c>
      <c r="D10" s="13">
        <v>10</v>
      </c>
      <c r="E10" s="46">
        <v>50</v>
      </c>
      <c r="F10" t="s">
        <v>55</v>
      </c>
      <c r="G10" s="13">
        <f>IF(Embalagens[preço] &lt;&gt; "", Embalagens[[#This Row],[preço]] / IF(Embalagens[[#This Row],[medida]] = "unidades", Embalagens[[#This Row],[quantidade]], 1), "")</f>
        <v>0.2</v>
      </c>
      <c r="H10" s="13" t="str">
        <f>IFERROR(Embalagens[[#This Row],[preço]] / (Embalagens[quantidade] / IF(Embalagens[[#This Row],[medida]] = "Gramas", 1000, IF(Embalagens[[#This Row],[medida]] = "Quilos", 1, 0))), "")</f>
        <v/>
      </c>
      <c r="I10" s="45" t="str">
        <f>IFERROR(Embalagens[[#This Row],[preço]] / (Embalagens[quantidade] * IF(Embalagens[[#This Row],[medida]] = "Gramas", 1, IF(Embalagens[[#This Row],[medida]] = "Quilos", 1000, 0))), "")</f>
        <v/>
      </c>
      <c r="J10" s="45" t="str">
        <f>IFERROR(Embalagens[[#This Row],[preço]] / (Embalagens[quantidade] / IF(Embalagens[[#This Row],[medida]] = "ML", 1000, IF(Embalagens[[#This Row],[medida]] = "Litros", 1, 0))), "")</f>
        <v/>
      </c>
      <c r="K10" s="45" t="str">
        <f>IFERROR(Embalagens[[#This Row],[preço]] / (Embalagens[quantidade] * IF(Embalagens[[#This Row],[medida]] = "ML", 1, IF(Embalagens[[#This Row],[medida]] = "Litros", 1000, 0))), "")</f>
        <v/>
      </c>
    </row>
    <row r="11" spans="2:11">
      <c r="B11">
        <v>51</v>
      </c>
      <c r="C11" t="s">
        <v>247</v>
      </c>
      <c r="D11" s="13">
        <v>10</v>
      </c>
      <c r="E11" s="46">
        <v>100</v>
      </c>
      <c r="F11" t="s">
        <v>248</v>
      </c>
      <c r="G11" s="13">
        <f>IF(Embalagens[preço] &lt;&gt; "", Embalagens[[#This Row],[preço]] / IF(Embalagens[[#This Row],[medida]] = "unidades", Embalagens[[#This Row],[quantidade]], 1), "")</f>
        <v>10</v>
      </c>
      <c r="H11" s="13" t="str">
        <f>IFERROR(Embalagens[[#This Row],[preço]] / (Embalagens[quantidade] / IF(Embalagens[[#This Row],[medida]] = "Gramas", 1000, IF(Embalagens[[#This Row],[medida]] = "Quilos", 1, 0))), "")</f>
        <v/>
      </c>
      <c r="I11" s="45" t="str">
        <f>IFERROR(Embalagens[[#This Row],[preço]] / (Embalagens[quantidade] * IF(Embalagens[[#This Row],[medida]] = "Gramas", 1, IF(Embalagens[[#This Row],[medida]] = "Quilos", 1000, 0))), "")</f>
        <v/>
      </c>
      <c r="J11" s="45" t="str">
        <f>IFERROR(Embalagens[[#This Row],[preço]] / (Embalagens[quantidade] / IF(Embalagens[[#This Row],[medida]] = "ML", 1000, IF(Embalagens[[#This Row],[medida]] = "Litros", 1, 0))), "")</f>
        <v/>
      </c>
      <c r="K11" s="45" t="str">
        <f>IFERROR(Embalagens[[#This Row],[preço]] / (Embalagens[quantidade] * IF(Embalagens[[#This Row],[medida]] = "ML", 1, IF(Embalagens[[#This Row],[medida]] = "Litros", 1000, 0))), "")</f>
        <v/>
      </c>
    </row>
    <row r="12" spans="2:11">
      <c r="B12">
        <v>10</v>
      </c>
      <c r="C12" t="s">
        <v>250</v>
      </c>
      <c r="D12" s="13">
        <v>1</v>
      </c>
      <c r="E12" s="46">
        <v>1</v>
      </c>
      <c r="F12" t="s">
        <v>55</v>
      </c>
      <c r="G12" s="13">
        <f>IF(Embalagens[preço] &lt;&gt; "", Embalagens[[#This Row],[preço]] / IF(Embalagens[[#This Row],[medida]] = "unidades", Embalagens[[#This Row],[quantidade]], 1), "")</f>
        <v>1</v>
      </c>
      <c r="H12" s="13" t="str">
        <f>IFERROR(Embalagens[[#This Row],[preço]] / (Embalagens[quantidade] / IF(Embalagens[[#This Row],[medida]] = "Gramas", 1000, IF(Embalagens[[#This Row],[medida]] = "Quilos", 1, 0))), "")</f>
        <v/>
      </c>
      <c r="I12" s="45" t="str">
        <f>IFERROR(Embalagens[[#This Row],[preço]] / (Embalagens[quantidade] * IF(Embalagens[[#This Row],[medida]] = "Gramas", 1, IF(Embalagens[[#This Row],[medida]] = "Quilos", 1000, 0))), "")</f>
        <v/>
      </c>
      <c r="J12" s="45" t="str">
        <f>IFERROR(Embalagens[[#This Row],[preço]] / (Embalagens[quantidade] / IF(Embalagens[[#This Row],[medida]] = "ML", 1000, IF(Embalagens[[#This Row],[medida]] = "Litros", 1, 0))), "")</f>
        <v/>
      </c>
      <c r="K12" s="45" t="str">
        <f>IFERROR(Embalagens[[#This Row],[preço]] / (Embalagens[quantidade] * IF(Embalagens[[#This Row],[medida]] = "ML", 1, IF(Embalagens[[#This Row],[medida]] = "Litros", 1000, 0))), "")</f>
        <v/>
      </c>
    </row>
    <row r="13" spans="2:11">
      <c r="B13">
        <v>12</v>
      </c>
      <c r="C13" t="s">
        <v>251</v>
      </c>
      <c r="D13" s="13">
        <v>10</v>
      </c>
      <c r="E13" s="46">
        <v>100</v>
      </c>
      <c r="F13" t="s">
        <v>55</v>
      </c>
      <c r="G13" s="13">
        <f>IF(Embalagens[preço] &lt;&gt; "", Embalagens[[#This Row],[preço]] / IF(Embalagens[[#This Row],[medida]] = "unidades", Embalagens[[#This Row],[quantidade]], 1), "")</f>
        <v>0.1</v>
      </c>
      <c r="H13" s="13" t="str">
        <f>IFERROR(Embalagens[[#This Row],[preço]] / (Embalagens[quantidade] / IF(Embalagens[[#This Row],[medida]] = "Gramas", 1000, IF(Embalagens[[#This Row],[medida]] = "Quilos", 1, 0))), "")</f>
        <v/>
      </c>
      <c r="I13" s="45" t="str">
        <f>IFERROR(Embalagens[[#This Row],[preço]] / (Embalagens[quantidade] * IF(Embalagens[[#This Row],[medida]] = "Gramas", 1, IF(Embalagens[[#This Row],[medida]] = "Quilos", 1000, 0))), "")</f>
        <v/>
      </c>
      <c r="J13" s="45" t="str">
        <f>IFERROR(Embalagens[[#This Row],[preço]] / (Embalagens[quantidade] / IF(Embalagens[[#This Row],[medida]] = "ML", 1000, IF(Embalagens[[#This Row],[medida]] = "Litros", 1, 0))), "")</f>
        <v/>
      </c>
      <c r="K13" s="45" t="str">
        <f>IFERROR(Embalagens[[#This Row],[preço]] / (Embalagens[quantidade] * IF(Embalagens[[#This Row],[medida]] = "ML", 1, IF(Embalagens[[#This Row],[medida]] = "Litros", 1000, 0))), "")</f>
        <v/>
      </c>
    </row>
    <row r="14" spans="2:11">
      <c r="B14">
        <v>21</v>
      </c>
      <c r="C14" t="s">
        <v>169</v>
      </c>
      <c r="D14" s="13">
        <v>0.05</v>
      </c>
      <c r="E14" s="46">
        <v>1</v>
      </c>
      <c r="F14" t="s">
        <v>55</v>
      </c>
      <c r="G14" s="13">
        <f>IF(Embalagens[preço] &lt;&gt; "", Embalagens[[#This Row],[preço]] / IF(Embalagens[[#This Row],[medida]] = "unidades", Embalagens[[#This Row],[quantidade]], 1), "")</f>
        <v>0.05</v>
      </c>
      <c r="H14" s="13" t="str">
        <f>IFERROR(Embalagens[[#This Row],[preço]] / (Embalagens[quantidade] / IF(Embalagens[[#This Row],[medida]] = "Gramas", 1000, IF(Embalagens[[#This Row],[medida]] = "Quilos", 1, 0))), "")</f>
        <v/>
      </c>
      <c r="I14" s="45" t="str">
        <f>IFERROR(Embalagens[[#This Row],[preço]] / (Embalagens[quantidade] * IF(Embalagens[[#This Row],[medida]] = "Gramas", 1, IF(Embalagens[[#This Row],[medida]] = "Quilos", 1000, 0))), "")</f>
        <v/>
      </c>
      <c r="J14" s="45" t="str">
        <f>IFERROR(Embalagens[[#This Row],[preço]] / (Embalagens[quantidade] / IF(Embalagens[[#This Row],[medida]] = "ML", 1000, IF(Embalagens[[#This Row],[medida]] = "Litros", 1, 0))), "")</f>
        <v/>
      </c>
      <c r="K14" s="45" t="str">
        <f>IFERROR(Embalagens[[#This Row],[preço]] / (Embalagens[quantidade] * IF(Embalagens[[#This Row],[medida]] = "ML", 1, IF(Embalagens[[#This Row],[medida]] = "Litros", 1000, 0))), "")</f>
        <v/>
      </c>
    </row>
    <row r="15" spans="2:11">
      <c r="B15">
        <v>34</v>
      </c>
      <c r="D15" s="13"/>
      <c r="E15" s="46"/>
      <c r="F15" t="s">
        <v>55</v>
      </c>
      <c r="G15" s="13" t="str">
        <f>IF(Embalagens[preço] &lt;&gt; "", Embalagens[[#This Row],[preço]] / IF(Embalagens[[#This Row],[medida]] = "unidades", Embalagens[[#This Row],[quantidade]], 1), "")</f>
        <v/>
      </c>
      <c r="H15" s="13" t="str">
        <f>IFERROR(Embalagens[[#This Row],[preço]] / (Embalagens[quantidade] / IF(Embalagens[[#This Row],[medida]] = "Gramas", 1000, IF(Embalagens[[#This Row],[medida]] = "Quilos", 1, 0))), "")</f>
        <v/>
      </c>
      <c r="I15" s="45" t="str">
        <f>IFERROR(Embalagens[[#This Row],[preço]] / (Embalagens[quantidade] * IF(Embalagens[[#This Row],[medida]] = "Gramas", 1, IF(Embalagens[[#This Row],[medida]] = "Quilos", 1000, 0))), "")</f>
        <v/>
      </c>
      <c r="J15" s="45" t="str">
        <f>IFERROR(Embalagens[[#This Row],[preço]] / (Embalagens[quantidade] / IF(Embalagens[[#This Row],[medida]] = "ML", 1000, IF(Embalagens[[#This Row],[medida]] = "Litros", 1, 0))), "")</f>
        <v/>
      </c>
      <c r="K15" s="45" t="str">
        <f>IFERROR(Embalagens[[#This Row],[preço]] / (Embalagens[quantidade] * IF(Embalagens[[#This Row],[medida]] = "ML", 1, IF(Embalagens[[#This Row],[medida]] = "Litros", 1000, 0))), "")</f>
        <v/>
      </c>
    </row>
    <row r="16" spans="2:11">
      <c r="B16">
        <v>24</v>
      </c>
      <c r="D16" s="13"/>
      <c r="E16" s="46"/>
      <c r="F16" t="s">
        <v>55</v>
      </c>
      <c r="G16" s="13" t="str">
        <f>IF(Embalagens[preço] &lt;&gt; "", Embalagens[[#This Row],[preço]] / IF(Embalagens[[#This Row],[medida]] = "unidades", Embalagens[[#This Row],[quantidade]], 1), "")</f>
        <v/>
      </c>
      <c r="H16" s="13" t="str">
        <f>IFERROR(Embalagens[[#This Row],[preço]] / (Embalagens[quantidade] / IF(Embalagens[[#This Row],[medida]] = "Gramas", 1000, IF(Embalagens[[#This Row],[medida]] = "Quilos", 1, 0))), "")</f>
        <v/>
      </c>
      <c r="I16" s="45" t="str">
        <f>IFERROR(Embalagens[[#This Row],[preço]] / (Embalagens[quantidade] * IF(Embalagens[[#This Row],[medida]] = "Gramas", 1, IF(Embalagens[[#This Row],[medida]] = "Quilos", 1000, 0))), "")</f>
        <v/>
      </c>
      <c r="J16" s="45" t="str">
        <f>IFERROR(Embalagens[[#This Row],[preço]] / (Embalagens[quantidade] / IF(Embalagens[[#This Row],[medida]] = "ML", 1000, IF(Embalagens[[#This Row],[medida]] = "Litros", 1, 0))), "")</f>
        <v/>
      </c>
      <c r="K16" s="45" t="str">
        <f>IFERROR(Embalagens[[#This Row],[preço]] / (Embalagens[quantidade] * IF(Embalagens[[#This Row],[medida]] = "ML", 1, IF(Embalagens[[#This Row],[medida]] = "Litros", 1000, 0))), "")</f>
        <v/>
      </c>
    </row>
    <row r="17" spans="2:11">
      <c r="B17">
        <v>1</v>
      </c>
      <c r="D17" s="13"/>
      <c r="E17" s="46"/>
      <c r="F17" t="s">
        <v>55</v>
      </c>
      <c r="G17" s="13" t="str">
        <f>IF(Embalagens[preço] &lt;&gt; "", Embalagens[[#This Row],[preço]] / IF(Embalagens[[#This Row],[medida]] = "unidades", Embalagens[[#This Row],[quantidade]], 1), "")</f>
        <v/>
      </c>
      <c r="H17" s="13" t="str">
        <f>IFERROR(Embalagens[[#This Row],[preço]] / (Embalagens[quantidade] / IF(Embalagens[[#This Row],[medida]] = "Gramas", 1000, IF(Embalagens[[#This Row],[medida]] = "Quilos", 1, 0))), "")</f>
        <v/>
      </c>
      <c r="I17" s="45" t="str">
        <f>IFERROR(Embalagens[[#This Row],[preço]] / (Embalagens[quantidade] * IF(Embalagens[[#This Row],[medida]] = "Gramas", 1, IF(Embalagens[[#This Row],[medida]] = "Quilos", 1000, 0))), "")</f>
        <v/>
      </c>
      <c r="J17" s="45" t="str">
        <f>IFERROR(Embalagens[[#This Row],[preço]] / (Embalagens[quantidade] / IF(Embalagens[[#This Row],[medida]] = "ML", 1000, IF(Embalagens[[#This Row],[medida]] = "Litros", 1, 0))), "")</f>
        <v/>
      </c>
      <c r="K17" s="45" t="str">
        <f>IFERROR(Embalagens[[#This Row],[preço]] / (Embalagens[quantidade] * IF(Embalagens[[#This Row],[medida]] = "ML", 1, IF(Embalagens[[#This Row],[medida]] = "Litros", 1000, 0))), "")</f>
        <v/>
      </c>
    </row>
    <row r="18" spans="2:11">
      <c r="B18">
        <v>8</v>
      </c>
      <c r="D18" s="13"/>
      <c r="E18" s="46"/>
      <c r="F18" t="s">
        <v>55</v>
      </c>
      <c r="G18" s="13" t="str">
        <f>IF(Embalagens[preço] &lt;&gt; "", Embalagens[[#This Row],[preço]] / IF(Embalagens[[#This Row],[medida]] = "unidades", Embalagens[[#This Row],[quantidade]], 1), "")</f>
        <v/>
      </c>
      <c r="H18" s="13" t="str">
        <f>IFERROR(Embalagens[[#This Row],[preço]] / (Embalagens[quantidade] / IF(Embalagens[[#This Row],[medida]] = "Gramas", 1000, IF(Embalagens[[#This Row],[medida]] = "Quilos", 1, 0))), "")</f>
        <v/>
      </c>
      <c r="I18" s="45" t="str">
        <f>IFERROR(Embalagens[[#This Row],[preço]] / (Embalagens[quantidade] * IF(Embalagens[[#This Row],[medida]] = "Gramas", 1, IF(Embalagens[[#This Row],[medida]] = "Quilos", 1000, 0))), "")</f>
        <v/>
      </c>
      <c r="J18" s="45" t="str">
        <f>IFERROR(Embalagens[[#This Row],[preço]] / (Embalagens[quantidade] / IF(Embalagens[[#This Row],[medida]] = "ML", 1000, IF(Embalagens[[#This Row],[medida]] = "Litros", 1, 0))), "")</f>
        <v/>
      </c>
      <c r="K18" s="45" t="str">
        <f>IFERROR(Embalagens[[#This Row],[preço]] / (Embalagens[quantidade] * IF(Embalagens[[#This Row],[medida]] = "ML", 1, IF(Embalagens[[#This Row],[medida]] = "Litros", 1000, 0))), "")</f>
        <v/>
      </c>
    </row>
    <row r="19" spans="2:11">
      <c r="B19">
        <v>47</v>
      </c>
      <c r="D19" s="13"/>
      <c r="E19" s="46"/>
      <c r="F19" t="s">
        <v>55</v>
      </c>
      <c r="G19" s="13" t="str">
        <f>IF(Embalagens[preço] &lt;&gt; "", Embalagens[[#This Row],[preço]] / IF(Embalagens[[#This Row],[medida]] = "unidades", Embalagens[[#This Row],[quantidade]], 1), "")</f>
        <v/>
      </c>
      <c r="H19" s="13" t="str">
        <f>IFERROR(Embalagens[[#This Row],[preço]] / (Embalagens[quantidade] / IF(Embalagens[[#This Row],[medida]] = "Gramas", 1000, IF(Embalagens[[#This Row],[medida]] = "Quilos", 1, 0))), "")</f>
        <v/>
      </c>
      <c r="I19" s="45" t="str">
        <f>IFERROR(Embalagens[[#This Row],[preço]] / (Embalagens[quantidade] * IF(Embalagens[[#This Row],[medida]] = "Gramas", 1, IF(Embalagens[[#This Row],[medida]] = "Quilos", 1000, 0))), "")</f>
        <v/>
      </c>
      <c r="J19" s="45" t="str">
        <f>IFERROR(Embalagens[[#This Row],[preço]] / (Embalagens[quantidade] / IF(Embalagens[[#This Row],[medida]] = "ML", 1000, IF(Embalagens[[#This Row],[medida]] = "Litros", 1, 0))), "")</f>
        <v/>
      </c>
      <c r="K19" s="45" t="str">
        <f>IFERROR(Embalagens[[#This Row],[preço]] / (Embalagens[quantidade] * IF(Embalagens[[#This Row],[medida]] = "ML", 1, IF(Embalagens[[#This Row],[medida]] = "Litros", 1000, 0))), "")</f>
        <v/>
      </c>
    </row>
    <row r="20" spans="2:11">
      <c r="B20">
        <v>28</v>
      </c>
      <c r="D20" s="13"/>
      <c r="E20" s="46"/>
      <c r="F20" t="s">
        <v>55</v>
      </c>
      <c r="G20" s="13" t="str">
        <f>IF(Embalagens[preço] &lt;&gt; "", Embalagens[[#This Row],[preço]] / IF(Embalagens[[#This Row],[medida]] = "unidades", Embalagens[[#This Row],[quantidade]], 1), "")</f>
        <v/>
      </c>
      <c r="H20" s="13" t="str">
        <f>IFERROR(Embalagens[[#This Row],[preço]] / (Embalagens[quantidade] / IF(Embalagens[[#This Row],[medida]] = "Gramas", 1000, IF(Embalagens[[#This Row],[medida]] = "Quilos", 1, 0))), "")</f>
        <v/>
      </c>
      <c r="I20" s="45" t="str">
        <f>IFERROR(Embalagens[[#This Row],[preço]] / (Embalagens[quantidade] * IF(Embalagens[[#This Row],[medida]] = "Gramas", 1, IF(Embalagens[[#This Row],[medida]] = "Quilos", 1000, 0))), "")</f>
        <v/>
      </c>
      <c r="J20" s="45" t="str">
        <f>IFERROR(Embalagens[[#This Row],[preço]] / (Embalagens[quantidade] / IF(Embalagens[[#This Row],[medida]] = "ML", 1000, IF(Embalagens[[#This Row],[medida]] = "Litros", 1, 0))), "")</f>
        <v/>
      </c>
      <c r="K20" s="45" t="str">
        <f>IFERROR(Embalagens[[#This Row],[preço]] / (Embalagens[quantidade] * IF(Embalagens[[#This Row],[medida]] = "ML", 1, IF(Embalagens[[#This Row],[medida]] = "Litros", 1000, 0))), "")</f>
        <v/>
      </c>
    </row>
    <row r="21" spans="2:11">
      <c r="B21">
        <v>29</v>
      </c>
      <c r="D21" s="13"/>
      <c r="E21" s="46"/>
      <c r="F21" t="s">
        <v>55</v>
      </c>
      <c r="G21" s="13" t="str">
        <f>IF(Embalagens[preço] &lt;&gt; "", Embalagens[[#This Row],[preço]] / IF(Embalagens[[#This Row],[medida]] = "unidades", Embalagens[[#This Row],[quantidade]], 1), "")</f>
        <v/>
      </c>
      <c r="H21" s="13" t="str">
        <f>IFERROR(Embalagens[[#This Row],[preço]] / (Embalagens[quantidade] / IF(Embalagens[[#This Row],[medida]] = "Gramas", 1000, IF(Embalagens[[#This Row],[medida]] = "Quilos", 1, 0))), "")</f>
        <v/>
      </c>
      <c r="I21" s="45" t="str">
        <f>IFERROR(Embalagens[[#This Row],[preço]] / (Embalagens[quantidade] * IF(Embalagens[[#This Row],[medida]] = "Gramas", 1, IF(Embalagens[[#This Row],[medida]] = "Quilos", 1000, 0))), "")</f>
        <v/>
      </c>
      <c r="J21" s="45" t="str">
        <f>IFERROR(Embalagens[[#This Row],[preço]] / (Embalagens[quantidade] / IF(Embalagens[[#This Row],[medida]] = "ML", 1000, IF(Embalagens[[#This Row],[medida]] = "Litros", 1, 0))), "")</f>
        <v/>
      </c>
      <c r="K21" s="45" t="str">
        <f>IFERROR(Embalagens[[#This Row],[preço]] / (Embalagens[quantidade] * IF(Embalagens[[#This Row],[medida]] = "ML", 1, IF(Embalagens[[#This Row],[medida]] = "Litros", 1000, 0))), "")</f>
        <v/>
      </c>
    </row>
    <row r="22" spans="2:11">
      <c r="B22">
        <v>38</v>
      </c>
      <c r="D22" s="13"/>
      <c r="E22" s="46"/>
      <c r="F22" t="s">
        <v>55</v>
      </c>
      <c r="G22" s="13" t="str">
        <f>IF(Embalagens[preço] &lt;&gt; "", Embalagens[[#This Row],[preço]] / IF(Embalagens[[#This Row],[medida]] = "unidades", Embalagens[[#This Row],[quantidade]], 1), "")</f>
        <v/>
      </c>
      <c r="H22" s="13" t="str">
        <f>IFERROR(Embalagens[[#This Row],[preço]] / (Embalagens[quantidade] / IF(Embalagens[[#This Row],[medida]] = "Gramas", 1000, IF(Embalagens[[#This Row],[medida]] = "Quilos", 1, 0))), "")</f>
        <v/>
      </c>
      <c r="I22" s="45" t="str">
        <f>IFERROR(Embalagens[[#This Row],[preço]] / (Embalagens[quantidade] * IF(Embalagens[[#This Row],[medida]] = "Gramas", 1, IF(Embalagens[[#This Row],[medida]] = "Quilos", 1000, 0))), "")</f>
        <v/>
      </c>
      <c r="J22" s="45" t="str">
        <f>IFERROR(Embalagens[[#This Row],[preço]] / (Embalagens[quantidade] / IF(Embalagens[[#This Row],[medida]] = "ML", 1000, IF(Embalagens[[#This Row],[medida]] = "Litros", 1, 0))), "")</f>
        <v/>
      </c>
      <c r="K22" s="45" t="str">
        <f>IFERROR(Embalagens[[#This Row],[preço]] / (Embalagens[quantidade] * IF(Embalagens[[#This Row],[medida]] = "ML", 1, IF(Embalagens[[#This Row],[medida]] = "Litros", 1000, 0))), "")</f>
        <v/>
      </c>
    </row>
    <row r="23" spans="2:11">
      <c r="B23">
        <v>30</v>
      </c>
      <c r="D23" s="13"/>
      <c r="E23" s="46"/>
      <c r="F23" t="s">
        <v>55</v>
      </c>
      <c r="G23" s="13" t="str">
        <f>IF(Embalagens[preço] &lt;&gt; "", Embalagens[[#This Row],[preço]] / IF(Embalagens[[#This Row],[medida]] = "unidades", Embalagens[[#This Row],[quantidade]], 1), "")</f>
        <v/>
      </c>
      <c r="H23" s="13" t="str">
        <f>IFERROR(Embalagens[[#This Row],[preço]] / (Embalagens[quantidade] / IF(Embalagens[[#This Row],[medida]] = "Gramas", 1000, IF(Embalagens[[#This Row],[medida]] = "Quilos", 1, 0))), "")</f>
        <v/>
      </c>
      <c r="I23" s="45" t="str">
        <f>IFERROR(Embalagens[[#This Row],[preço]] / (Embalagens[quantidade] * IF(Embalagens[[#This Row],[medida]] = "Gramas", 1, IF(Embalagens[[#This Row],[medida]] = "Quilos", 1000, 0))), "")</f>
        <v/>
      </c>
      <c r="J23" s="45" t="str">
        <f>IFERROR(Embalagens[[#This Row],[preço]] / (Embalagens[quantidade] / IF(Embalagens[[#This Row],[medida]] = "ML", 1000, IF(Embalagens[[#This Row],[medida]] = "Litros", 1, 0))), "")</f>
        <v/>
      </c>
      <c r="K23" s="45" t="str">
        <f>IFERROR(Embalagens[[#This Row],[preço]] / (Embalagens[quantidade] * IF(Embalagens[[#This Row],[medida]] = "ML", 1, IF(Embalagens[[#This Row],[medida]] = "Litros", 1000, 0))), "")</f>
        <v/>
      </c>
    </row>
    <row r="24" spans="2:11">
      <c r="B24">
        <v>22</v>
      </c>
      <c r="D24" s="13"/>
      <c r="E24" s="46"/>
      <c r="F24" t="s">
        <v>55</v>
      </c>
      <c r="G24" s="13" t="str">
        <f>IF(Embalagens[preço] &lt;&gt; "", Embalagens[[#This Row],[preço]] / IF(Embalagens[[#This Row],[medida]] = "unidades", Embalagens[[#This Row],[quantidade]], 1), "")</f>
        <v/>
      </c>
      <c r="H24" s="13" t="str">
        <f>IFERROR(Embalagens[[#This Row],[preço]] / (Embalagens[quantidade] / IF(Embalagens[[#This Row],[medida]] = "Gramas", 1000, IF(Embalagens[[#This Row],[medida]] = "Quilos", 1, 0))), "")</f>
        <v/>
      </c>
      <c r="I24" s="45" t="str">
        <f>IFERROR(Embalagens[[#This Row],[preço]] / (Embalagens[quantidade] * IF(Embalagens[[#This Row],[medida]] = "Gramas", 1, IF(Embalagens[[#This Row],[medida]] = "Quilos", 1000, 0))), "")</f>
        <v/>
      </c>
      <c r="J24" s="45" t="str">
        <f>IFERROR(Embalagens[[#This Row],[preço]] / (Embalagens[quantidade] / IF(Embalagens[[#This Row],[medida]] = "ML", 1000, IF(Embalagens[[#This Row],[medida]] = "Litros", 1, 0))), "")</f>
        <v/>
      </c>
      <c r="K24" s="45" t="str">
        <f>IFERROR(Embalagens[[#This Row],[preço]] / (Embalagens[quantidade] * IF(Embalagens[[#This Row],[medida]] = "ML", 1, IF(Embalagens[[#This Row],[medida]] = "Litros", 1000, 0))), "")</f>
        <v/>
      </c>
    </row>
    <row r="25" spans="2:11">
      <c r="B25">
        <v>41</v>
      </c>
      <c r="D25" s="13"/>
      <c r="E25" s="46"/>
      <c r="F25" t="s">
        <v>55</v>
      </c>
      <c r="G25" s="13" t="str">
        <f>IF(Embalagens[preço] &lt;&gt; "", Embalagens[[#This Row],[preço]] / IF(Embalagens[[#This Row],[medida]] = "unidades", Embalagens[[#This Row],[quantidade]], 1), "")</f>
        <v/>
      </c>
      <c r="H25" s="13" t="str">
        <f>IFERROR(Embalagens[[#This Row],[preço]] / (Embalagens[quantidade] / IF(Embalagens[[#This Row],[medida]] = "Gramas", 1000, IF(Embalagens[[#This Row],[medida]] = "Quilos", 1, 0))), "")</f>
        <v/>
      </c>
      <c r="I25" s="45" t="str">
        <f>IFERROR(Embalagens[[#This Row],[preço]] / (Embalagens[quantidade] * IF(Embalagens[[#This Row],[medida]] = "Gramas", 1, IF(Embalagens[[#This Row],[medida]] = "Quilos", 1000, 0))), "")</f>
        <v/>
      </c>
      <c r="J25" s="45" t="str">
        <f>IFERROR(Embalagens[[#This Row],[preço]] / (Embalagens[quantidade] / IF(Embalagens[[#This Row],[medida]] = "ML", 1000, IF(Embalagens[[#This Row],[medida]] = "Litros", 1, 0))), "")</f>
        <v/>
      </c>
      <c r="K25" s="45" t="str">
        <f>IFERROR(Embalagens[[#This Row],[preço]] / (Embalagens[quantidade] * IF(Embalagens[[#This Row],[medida]] = "ML", 1, IF(Embalagens[[#This Row],[medida]] = "Litros", 1000, 0))), "")</f>
        <v/>
      </c>
    </row>
    <row r="26" spans="2:11">
      <c r="B26">
        <v>112</v>
      </c>
      <c r="D26" s="13"/>
      <c r="E26" s="46"/>
      <c r="F26" t="s">
        <v>55</v>
      </c>
      <c r="G26" s="13" t="str">
        <f>IF(Embalagens[preço] &lt;&gt; "", Embalagens[[#This Row],[preço]] / IF(Embalagens[[#This Row],[medida]] = "unidades", Embalagens[[#This Row],[quantidade]], 1), "")</f>
        <v/>
      </c>
      <c r="H26" s="13" t="str">
        <f>IFERROR(Embalagens[[#This Row],[preço]] / (Embalagens[quantidade] / IF(Embalagens[[#This Row],[medida]] = "Gramas", 1000, IF(Embalagens[[#This Row],[medida]] = "Quilos", 1, 0))), "")</f>
        <v/>
      </c>
      <c r="I26" s="52" t="str">
        <f>IFERROR(Embalagens[[#This Row],[preço]] / (Embalagens[quantidade] * IF(Embalagens[[#This Row],[medida]] = "Gramas", 1, IF(Embalagens[[#This Row],[medida]] = "Quilos", 1000, 0))), "")</f>
        <v/>
      </c>
      <c r="J26" s="52" t="str">
        <f>IFERROR(Embalagens[[#This Row],[preço]] / (Embalagens[quantidade] / IF(Embalagens[[#This Row],[medida]] = "ML", 1000, IF(Embalagens[[#This Row],[medida]] = "Litros", 1, 0))), "")</f>
        <v/>
      </c>
      <c r="K26" s="52" t="str">
        <f>IFERROR(Embalagens[[#This Row],[preço]] / (Embalagens[quantidade] * IF(Embalagens[[#This Row],[medida]] = "ML", 1, IF(Embalagens[[#This Row],[medida]] = "Litros", 1000, 0))), "")</f>
        <v/>
      </c>
    </row>
    <row r="27" spans="2:11">
      <c r="B27">
        <v>117</v>
      </c>
      <c r="D27" s="13"/>
      <c r="E27" s="46"/>
      <c r="F27" t="s">
        <v>55</v>
      </c>
      <c r="G27" s="13" t="str">
        <f>IF(Embalagens[preço] &lt;&gt; "", Embalagens[[#This Row],[preço]] / IF(Embalagens[[#This Row],[medida]] = "unidades", Embalagens[[#This Row],[quantidade]], 1), "")</f>
        <v/>
      </c>
      <c r="H27" s="13" t="str">
        <f>IFERROR(Embalagens[[#This Row],[preço]] / (Embalagens[quantidade] / IF(Embalagens[[#This Row],[medida]] = "Gramas", 1000, IF(Embalagens[[#This Row],[medida]] = "Quilos", 1, 0))), "")</f>
        <v/>
      </c>
      <c r="I27" s="52" t="str">
        <f>IFERROR(Embalagens[[#This Row],[preço]] / (Embalagens[quantidade] * IF(Embalagens[[#This Row],[medida]] = "Gramas", 1, IF(Embalagens[[#This Row],[medida]] = "Quilos", 1000, 0))), "")</f>
        <v/>
      </c>
      <c r="J27" s="52" t="str">
        <f>IFERROR(Embalagens[[#This Row],[preço]] / (Embalagens[quantidade] / IF(Embalagens[[#This Row],[medida]] = "ML", 1000, IF(Embalagens[[#This Row],[medida]] = "Litros", 1, 0))), "")</f>
        <v/>
      </c>
      <c r="K27" s="52" t="str">
        <f>IFERROR(Embalagens[[#This Row],[preço]] / (Embalagens[quantidade] * IF(Embalagens[[#This Row],[medida]] = "ML", 1, IF(Embalagens[[#This Row],[medida]] = "Litros", 1000, 0))), "")</f>
        <v/>
      </c>
    </row>
    <row r="28" spans="2:11">
      <c r="B28">
        <v>114</v>
      </c>
      <c r="D28" s="13"/>
      <c r="E28" s="46"/>
      <c r="F28" t="s">
        <v>55</v>
      </c>
      <c r="G28" s="13" t="str">
        <f>IF(Embalagens[preço] &lt;&gt; "", Embalagens[[#This Row],[preço]] / IF(Embalagens[[#This Row],[medida]] = "unidades", Embalagens[[#This Row],[quantidade]], 1), "")</f>
        <v/>
      </c>
      <c r="H28" s="13" t="str">
        <f>IFERROR(Embalagens[[#This Row],[preço]] / (Embalagens[quantidade] / IF(Embalagens[[#This Row],[medida]] = "Gramas", 1000, IF(Embalagens[[#This Row],[medida]] = "Quilos", 1, 0))), "")</f>
        <v/>
      </c>
      <c r="I28" s="52" t="str">
        <f>IFERROR(Embalagens[[#This Row],[preço]] / (Embalagens[quantidade] * IF(Embalagens[[#This Row],[medida]] = "Gramas", 1, IF(Embalagens[[#This Row],[medida]] = "Quilos", 1000, 0))), "")</f>
        <v/>
      </c>
      <c r="J28" s="52" t="str">
        <f>IFERROR(Embalagens[[#This Row],[preço]] / (Embalagens[quantidade] / IF(Embalagens[[#This Row],[medida]] = "ML", 1000, IF(Embalagens[[#This Row],[medida]] = "Litros", 1, 0))), "")</f>
        <v/>
      </c>
      <c r="K28" s="52" t="str">
        <f>IFERROR(Embalagens[[#This Row],[preço]] / (Embalagens[quantidade] * IF(Embalagens[[#This Row],[medida]] = "ML", 1, IF(Embalagens[[#This Row],[medida]] = "Litros", 1000, 0))), "")</f>
        <v/>
      </c>
    </row>
    <row r="29" spans="2:11">
      <c r="B29">
        <v>108</v>
      </c>
      <c r="D29" s="13"/>
      <c r="E29" s="46"/>
      <c r="F29" t="s">
        <v>55</v>
      </c>
      <c r="G29" s="13" t="str">
        <f>IF(Embalagens[preço] &lt;&gt; "", Embalagens[[#This Row],[preço]] / IF(Embalagens[[#This Row],[medida]] = "unidades", Embalagens[[#This Row],[quantidade]], 1), "")</f>
        <v/>
      </c>
      <c r="H29" s="13" t="str">
        <f>IFERROR(Embalagens[[#This Row],[preço]] / (Embalagens[quantidade] / IF(Embalagens[[#This Row],[medida]] = "Gramas", 1000, IF(Embalagens[[#This Row],[medida]] = "Quilos", 1, 0))), "")</f>
        <v/>
      </c>
      <c r="I29" s="52" t="str">
        <f>IFERROR(Embalagens[[#This Row],[preço]] / (Embalagens[quantidade] * IF(Embalagens[[#This Row],[medida]] = "Gramas", 1, IF(Embalagens[[#This Row],[medida]] = "Quilos", 1000, 0))), "")</f>
        <v/>
      </c>
      <c r="J29" s="52" t="str">
        <f>IFERROR(Embalagens[[#This Row],[preço]] / (Embalagens[quantidade] / IF(Embalagens[[#This Row],[medida]] = "ML", 1000, IF(Embalagens[[#This Row],[medida]] = "Litros", 1, 0))), "")</f>
        <v/>
      </c>
      <c r="K29" s="52" t="str">
        <f>IFERROR(Embalagens[[#This Row],[preço]] / (Embalagens[quantidade] * IF(Embalagens[[#This Row],[medida]] = "ML", 1, IF(Embalagens[[#This Row],[medida]] = "Litros", 1000, 0))), "")</f>
        <v/>
      </c>
    </row>
    <row r="30" spans="2:11">
      <c r="B30">
        <v>109</v>
      </c>
      <c r="D30" s="13"/>
      <c r="E30" s="46"/>
      <c r="F30" t="s">
        <v>55</v>
      </c>
      <c r="G30" s="13" t="str">
        <f>IF(Embalagens[preço] &lt;&gt; "", Embalagens[[#This Row],[preço]] / IF(Embalagens[[#This Row],[medida]] = "unidades", Embalagens[[#This Row],[quantidade]], 1), "")</f>
        <v/>
      </c>
      <c r="H30" s="13" t="str">
        <f>IFERROR(Embalagens[[#This Row],[preço]] / (Embalagens[quantidade] / IF(Embalagens[[#This Row],[medida]] = "Gramas", 1000, IF(Embalagens[[#This Row],[medida]] = "Quilos", 1, 0))), "")</f>
        <v/>
      </c>
      <c r="I30" s="52" t="str">
        <f>IFERROR(Embalagens[[#This Row],[preço]] / (Embalagens[quantidade] * IF(Embalagens[[#This Row],[medida]] = "Gramas", 1, IF(Embalagens[[#This Row],[medida]] = "Quilos", 1000, 0))), "")</f>
        <v/>
      </c>
      <c r="J30" s="52" t="str">
        <f>IFERROR(Embalagens[[#This Row],[preço]] / (Embalagens[quantidade] / IF(Embalagens[[#This Row],[medida]] = "ML", 1000, IF(Embalagens[[#This Row],[medida]] = "Litros", 1, 0))), "")</f>
        <v/>
      </c>
      <c r="K30" s="52" t="str">
        <f>IFERROR(Embalagens[[#This Row],[preço]] / (Embalagens[quantidade] * IF(Embalagens[[#This Row],[medida]] = "ML", 1, IF(Embalagens[[#This Row],[medida]] = "Litros", 1000, 0))), "")</f>
        <v/>
      </c>
    </row>
    <row r="31" spans="2:11">
      <c r="B31">
        <v>113</v>
      </c>
      <c r="D31" s="13"/>
      <c r="E31" s="46"/>
      <c r="F31" t="s">
        <v>55</v>
      </c>
      <c r="G31" s="13" t="str">
        <f>IF(Embalagens[preço] &lt;&gt; "", Embalagens[[#This Row],[preço]] / IF(Embalagens[[#This Row],[medida]] = "unidades", Embalagens[[#This Row],[quantidade]], 1), "")</f>
        <v/>
      </c>
      <c r="H31" s="13" t="str">
        <f>IFERROR(Embalagens[[#This Row],[preço]] / (Embalagens[quantidade] / IF(Embalagens[[#This Row],[medida]] = "Gramas", 1000, IF(Embalagens[[#This Row],[medida]] = "Quilos", 1, 0))), "")</f>
        <v/>
      </c>
      <c r="I31" s="52" t="str">
        <f>IFERROR(Embalagens[[#This Row],[preço]] / (Embalagens[quantidade] * IF(Embalagens[[#This Row],[medida]] = "Gramas", 1, IF(Embalagens[[#This Row],[medida]] = "Quilos", 1000, 0))), "")</f>
        <v/>
      </c>
      <c r="J31" s="52" t="str">
        <f>IFERROR(Embalagens[[#This Row],[preço]] / (Embalagens[quantidade] / IF(Embalagens[[#This Row],[medida]] = "ML", 1000, IF(Embalagens[[#This Row],[medida]] = "Litros", 1, 0))), "")</f>
        <v/>
      </c>
      <c r="K31" s="52" t="str">
        <f>IFERROR(Embalagens[[#This Row],[preço]] / (Embalagens[quantidade] * IF(Embalagens[[#This Row],[medida]] = "ML", 1, IF(Embalagens[[#This Row],[medida]] = "Litros", 1000, 0))), "")</f>
        <v/>
      </c>
    </row>
    <row r="32" spans="2:11">
      <c r="B32">
        <v>110</v>
      </c>
      <c r="D32" s="13"/>
      <c r="E32" s="46"/>
      <c r="F32" t="s">
        <v>55</v>
      </c>
      <c r="G32" s="13" t="str">
        <f>IF(Embalagens[preço] &lt;&gt; "", Embalagens[[#This Row],[preço]] / IF(Embalagens[[#This Row],[medida]] = "unidades", Embalagens[[#This Row],[quantidade]], 1), "")</f>
        <v/>
      </c>
      <c r="H32" s="13" t="str">
        <f>IFERROR(Embalagens[[#This Row],[preço]] / (Embalagens[quantidade] / IF(Embalagens[[#This Row],[medida]] = "Gramas", 1000, IF(Embalagens[[#This Row],[medida]] = "Quilos", 1, 0))), "")</f>
        <v/>
      </c>
      <c r="I32" s="52" t="str">
        <f>IFERROR(Embalagens[[#This Row],[preço]] / (Embalagens[quantidade] * IF(Embalagens[[#This Row],[medida]] = "Gramas", 1, IF(Embalagens[[#This Row],[medida]] = "Quilos", 1000, 0))), "")</f>
        <v/>
      </c>
      <c r="J32" s="52" t="str">
        <f>IFERROR(Embalagens[[#This Row],[preço]] / (Embalagens[quantidade] / IF(Embalagens[[#This Row],[medida]] = "ML", 1000, IF(Embalagens[[#This Row],[medida]] = "Litros", 1, 0))), "")</f>
        <v/>
      </c>
      <c r="K32" s="52" t="str">
        <f>IFERROR(Embalagens[[#This Row],[preço]] / (Embalagens[quantidade] * IF(Embalagens[[#This Row],[medida]] = "ML", 1, IF(Embalagens[[#This Row],[medida]] = "Litros", 1000, 0))), "")</f>
        <v/>
      </c>
    </row>
    <row r="33" spans="2:11">
      <c r="B33">
        <v>115</v>
      </c>
      <c r="D33" s="13"/>
      <c r="E33" s="46"/>
      <c r="F33" t="s">
        <v>55</v>
      </c>
      <c r="G33" s="13" t="str">
        <f>IF(Embalagens[preço] &lt;&gt; "", Embalagens[[#This Row],[preço]] / IF(Embalagens[[#This Row],[medida]] = "unidades", Embalagens[[#This Row],[quantidade]], 1), "")</f>
        <v/>
      </c>
      <c r="H33" s="13" t="str">
        <f>IFERROR(Embalagens[[#This Row],[preço]] / (Embalagens[quantidade] / IF(Embalagens[[#This Row],[medida]] = "Gramas", 1000, IF(Embalagens[[#This Row],[medida]] = "Quilos", 1, 0))), "")</f>
        <v/>
      </c>
      <c r="I33" s="52" t="str">
        <f>IFERROR(Embalagens[[#This Row],[preço]] / (Embalagens[quantidade] * IF(Embalagens[[#This Row],[medida]] = "Gramas", 1, IF(Embalagens[[#This Row],[medida]] = "Quilos", 1000, 0))), "")</f>
        <v/>
      </c>
      <c r="J33" s="52" t="str">
        <f>IFERROR(Embalagens[[#This Row],[preço]] / (Embalagens[quantidade] / IF(Embalagens[[#This Row],[medida]] = "ML", 1000, IF(Embalagens[[#This Row],[medida]] = "Litros", 1, 0))), "")</f>
        <v/>
      </c>
      <c r="K33" s="52" t="str">
        <f>IFERROR(Embalagens[[#This Row],[preço]] / (Embalagens[quantidade] * IF(Embalagens[[#This Row],[medida]] = "ML", 1, IF(Embalagens[[#This Row],[medida]] = "Litros", 1000, 0))), "")</f>
        <v/>
      </c>
    </row>
    <row r="34" spans="2:11">
      <c r="B34">
        <v>116</v>
      </c>
      <c r="D34" s="13"/>
      <c r="E34" s="46"/>
      <c r="F34" t="s">
        <v>55</v>
      </c>
      <c r="G34" s="13" t="str">
        <f>IF(Embalagens[preço] &lt;&gt; "", Embalagens[[#This Row],[preço]] / IF(Embalagens[[#This Row],[medida]] = "unidades", Embalagens[[#This Row],[quantidade]], 1), "")</f>
        <v/>
      </c>
      <c r="H34" s="13" t="str">
        <f>IFERROR(Embalagens[[#This Row],[preço]] / (Embalagens[quantidade] / IF(Embalagens[[#This Row],[medida]] = "Gramas", 1000, IF(Embalagens[[#This Row],[medida]] = "Quilos", 1, 0))), "")</f>
        <v/>
      </c>
      <c r="I34" s="52" t="str">
        <f>IFERROR(Embalagens[[#This Row],[preço]] / (Embalagens[quantidade] * IF(Embalagens[[#This Row],[medida]] = "Gramas", 1, IF(Embalagens[[#This Row],[medida]] = "Quilos", 1000, 0))), "")</f>
        <v/>
      </c>
      <c r="J34" s="52" t="str">
        <f>IFERROR(Embalagens[[#This Row],[preço]] / (Embalagens[quantidade] / IF(Embalagens[[#This Row],[medida]] = "ML", 1000, IF(Embalagens[[#This Row],[medida]] = "Litros", 1, 0))), "")</f>
        <v/>
      </c>
      <c r="K34" s="52" t="str">
        <f>IFERROR(Embalagens[[#This Row],[preço]] / (Embalagens[quantidade] * IF(Embalagens[[#This Row],[medida]] = "ML", 1, IF(Embalagens[[#This Row],[medida]] = "Litros", 1000, 0))), "")</f>
        <v/>
      </c>
    </row>
    <row r="35" spans="2:11">
      <c r="B35">
        <v>111</v>
      </c>
      <c r="D35" s="13"/>
      <c r="E35" s="46"/>
      <c r="F35" t="s">
        <v>55</v>
      </c>
      <c r="G35" s="13" t="str">
        <f>IF(Embalagens[preço] &lt;&gt; "", Embalagens[[#This Row],[preço]] / IF(Embalagens[[#This Row],[medida]] = "unidades", Embalagens[[#This Row],[quantidade]], 1), "")</f>
        <v/>
      </c>
      <c r="H35" s="13" t="str">
        <f>IFERROR(Embalagens[[#This Row],[preço]] / (Embalagens[quantidade] / IF(Embalagens[[#This Row],[medida]] = "Gramas", 1000, IF(Embalagens[[#This Row],[medida]] = "Quilos", 1, 0))), "")</f>
        <v/>
      </c>
      <c r="I35" s="52" t="str">
        <f>IFERROR(Embalagens[[#This Row],[preço]] / (Embalagens[quantidade] * IF(Embalagens[[#This Row],[medida]] = "Gramas", 1, IF(Embalagens[[#This Row],[medida]] = "Quilos", 1000, 0))), "")</f>
        <v/>
      </c>
      <c r="J35" s="52" t="str">
        <f>IFERROR(Embalagens[[#This Row],[preço]] / (Embalagens[quantidade] / IF(Embalagens[[#This Row],[medida]] = "ML", 1000, IF(Embalagens[[#This Row],[medida]] = "Litros", 1, 0))), "")</f>
        <v/>
      </c>
      <c r="K35" s="52" t="str">
        <f>IFERROR(Embalagens[[#This Row],[preço]] / (Embalagens[quantidade] * IF(Embalagens[[#This Row],[medida]] = "ML", 1, IF(Embalagens[[#This Row],[medida]] = "Litros", 1000, 0))), "")</f>
        <v/>
      </c>
    </row>
    <row r="36" spans="2:11">
      <c r="B36">
        <v>40</v>
      </c>
      <c r="D36" s="13"/>
      <c r="E36" s="46"/>
      <c r="F36" t="s">
        <v>55</v>
      </c>
      <c r="G36" s="13" t="str">
        <f>IF(Embalagens[preço] &lt;&gt; "", Embalagens[[#This Row],[preço]] / IF(Embalagens[[#This Row],[medida]] = "unidades", Embalagens[[#This Row],[quantidade]], 1), "")</f>
        <v/>
      </c>
      <c r="H36" s="13" t="str">
        <f>IFERROR(Embalagens[[#This Row],[preço]] / (Embalagens[quantidade] / IF(Embalagens[[#This Row],[medida]] = "Gramas", 1000, IF(Embalagens[[#This Row],[medida]] = "Quilos", 1, 0))), "")</f>
        <v/>
      </c>
      <c r="I36" s="45" t="str">
        <f>IFERROR(Embalagens[[#This Row],[preço]] / (Embalagens[quantidade] * IF(Embalagens[[#This Row],[medida]] = "Gramas", 1, IF(Embalagens[[#This Row],[medida]] = "Quilos", 1000, 0))), "")</f>
        <v/>
      </c>
      <c r="J36" s="45" t="str">
        <f>IFERROR(Embalagens[[#This Row],[preço]] / (Embalagens[quantidade] / IF(Embalagens[[#This Row],[medida]] = "ML", 1000, IF(Embalagens[[#This Row],[medida]] = "Litros", 1, 0))), "")</f>
        <v/>
      </c>
      <c r="K36" s="45" t="str">
        <f>IFERROR(Embalagens[[#This Row],[preço]] / (Embalagens[quantidade] * IF(Embalagens[[#This Row],[medida]] = "ML", 1, IF(Embalagens[[#This Row],[medida]] = "Litros", 1000, 0))), "")</f>
        <v/>
      </c>
    </row>
    <row r="37" spans="2:11">
      <c r="B37">
        <v>39</v>
      </c>
      <c r="D37" s="13"/>
      <c r="E37" s="46"/>
      <c r="F37" t="s">
        <v>55</v>
      </c>
      <c r="G37" s="13" t="str">
        <f>IF(Embalagens[preço] &lt;&gt; "", Embalagens[[#This Row],[preço]] / IF(Embalagens[[#This Row],[medida]] = "unidades", Embalagens[[#This Row],[quantidade]], 1), "")</f>
        <v/>
      </c>
      <c r="H37" s="13" t="str">
        <f>IFERROR(Embalagens[[#This Row],[preço]] / (Embalagens[quantidade] / IF(Embalagens[[#This Row],[medida]] = "Gramas", 1000, IF(Embalagens[[#This Row],[medida]] = "Quilos", 1, 0))), "")</f>
        <v/>
      </c>
      <c r="I37" s="45" t="str">
        <f>IFERROR(Embalagens[[#This Row],[preço]] / (Embalagens[quantidade] * IF(Embalagens[[#This Row],[medida]] = "Gramas", 1, IF(Embalagens[[#This Row],[medida]] = "Quilos", 1000, 0))), "")</f>
        <v/>
      </c>
      <c r="J37" s="45" t="str">
        <f>IFERROR(Embalagens[[#This Row],[preço]] / (Embalagens[quantidade] / IF(Embalagens[[#This Row],[medida]] = "ML", 1000, IF(Embalagens[[#This Row],[medida]] = "Litros", 1, 0))), "")</f>
        <v/>
      </c>
      <c r="K37" s="45" t="str">
        <f>IFERROR(Embalagens[[#This Row],[preço]] / (Embalagens[quantidade] * IF(Embalagens[[#This Row],[medida]] = "ML", 1, IF(Embalagens[[#This Row],[medida]] = "Litros", 1000, 0))), "")</f>
        <v/>
      </c>
    </row>
    <row r="38" spans="2:11">
      <c r="B38">
        <v>27</v>
      </c>
      <c r="D38" s="13"/>
      <c r="E38" s="46"/>
      <c r="F38" t="s">
        <v>55</v>
      </c>
      <c r="G38" s="13" t="str">
        <f>IF(Embalagens[preço] &lt;&gt; "", Embalagens[[#This Row],[preço]] / IF(Embalagens[[#This Row],[medida]] = "unidades", Embalagens[[#This Row],[quantidade]], 1), "")</f>
        <v/>
      </c>
      <c r="H38" s="13" t="str">
        <f>IFERROR(Embalagens[[#This Row],[preço]] / (Embalagens[quantidade] / IF(Embalagens[[#This Row],[medida]] = "Gramas", 1000, IF(Embalagens[[#This Row],[medida]] = "Quilos", 1, 0))), "")</f>
        <v/>
      </c>
      <c r="I38" s="45" t="str">
        <f>IFERROR(Embalagens[[#This Row],[preço]] / (Embalagens[quantidade] * IF(Embalagens[[#This Row],[medida]] = "Gramas", 1, IF(Embalagens[[#This Row],[medida]] = "Quilos", 1000, 0))), "")</f>
        <v/>
      </c>
      <c r="J38" s="45" t="str">
        <f>IFERROR(Embalagens[[#This Row],[preço]] / (Embalagens[quantidade] / IF(Embalagens[[#This Row],[medida]] = "ML", 1000, IF(Embalagens[[#This Row],[medida]] = "Litros", 1, 0))), "")</f>
        <v/>
      </c>
      <c r="K38" s="45" t="str">
        <f>IFERROR(Embalagens[[#This Row],[preço]] / (Embalagens[quantidade] * IF(Embalagens[[#This Row],[medida]] = "ML", 1, IF(Embalagens[[#This Row],[medida]] = "Litros", 1000, 0))), "")</f>
        <v/>
      </c>
    </row>
    <row r="39" spans="2:11">
      <c r="B39">
        <v>32</v>
      </c>
      <c r="D39" s="13"/>
      <c r="E39" s="46"/>
      <c r="F39" t="s">
        <v>55</v>
      </c>
      <c r="G39" s="13" t="str">
        <f>IF(Embalagens[preço] &lt;&gt; "", Embalagens[[#This Row],[preço]] / IF(Embalagens[[#This Row],[medida]] = "unidades", Embalagens[[#This Row],[quantidade]], 1), "")</f>
        <v/>
      </c>
      <c r="H39" s="13" t="str">
        <f>IFERROR(Embalagens[[#This Row],[preço]] / (Embalagens[quantidade] / IF(Embalagens[[#This Row],[medida]] = "Gramas", 1000, IF(Embalagens[[#This Row],[medida]] = "Quilos", 1, 0))), "")</f>
        <v/>
      </c>
      <c r="I39" s="45" t="str">
        <f>IFERROR(Embalagens[[#This Row],[preço]] / (Embalagens[quantidade] * IF(Embalagens[[#This Row],[medida]] = "Gramas", 1, IF(Embalagens[[#This Row],[medida]] = "Quilos", 1000, 0))), "")</f>
        <v/>
      </c>
      <c r="J39" s="45" t="str">
        <f>IFERROR(Embalagens[[#This Row],[preço]] / (Embalagens[quantidade] / IF(Embalagens[[#This Row],[medida]] = "ML", 1000, IF(Embalagens[[#This Row],[medida]] = "Litros", 1, 0))), "")</f>
        <v/>
      </c>
      <c r="K39" s="45" t="str">
        <f>IFERROR(Embalagens[[#This Row],[preço]] / (Embalagens[quantidade] * IF(Embalagens[[#This Row],[medida]] = "ML", 1, IF(Embalagens[[#This Row],[medida]] = "Litros", 1000, 0))), "")</f>
        <v/>
      </c>
    </row>
    <row r="40" spans="2:11">
      <c r="B40">
        <v>31</v>
      </c>
      <c r="D40" s="13"/>
      <c r="E40" s="46"/>
      <c r="F40" t="s">
        <v>55</v>
      </c>
      <c r="G40" s="13" t="str">
        <f>IF(Embalagens[preço] &lt;&gt; "", Embalagens[[#This Row],[preço]] / IF(Embalagens[[#This Row],[medida]] = "unidades", Embalagens[[#This Row],[quantidade]], 1), "")</f>
        <v/>
      </c>
      <c r="H40" s="13" t="str">
        <f>IFERROR(Embalagens[[#This Row],[preço]] / (Embalagens[quantidade] / IF(Embalagens[[#This Row],[medida]] = "Gramas", 1000, IF(Embalagens[[#This Row],[medida]] = "Quilos", 1, 0))), "")</f>
        <v/>
      </c>
      <c r="I40" s="45" t="str">
        <f>IFERROR(Embalagens[[#This Row],[preço]] / (Embalagens[quantidade] * IF(Embalagens[[#This Row],[medida]] = "Gramas", 1, IF(Embalagens[[#This Row],[medida]] = "Quilos", 1000, 0))), "")</f>
        <v/>
      </c>
      <c r="J40" s="45" t="str">
        <f>IFERROR(Embalagens[[#This Row],[preço]] / (Embalagens[quantidade] / IF(Embalagens[[#This Row],[medida]] = "ML", 1000, IF(Embalagens[[#This Row],[medida]] = "Litros", 1, 0))), "")</f>
        <v/>
      </c>
      <c r="K40" s="45" t="str">
        <f>IFERROR(Embalagens[[#This Row],[preço]] / (Embalagens[quantidade] * IF(Embalagens[[#This Row],[medida]] = "ML", 1, IF(Embalagens[[#This Row],[medida]] = "Litros", 1000, 0))), "")</f>
        <v/>
      </c>
    </row>
    <row r="41" spans="2:11">
      <c r="B41">
        <v>36</v>
      </c>
      <c r="D41" s="13"/>
      <c r="E41" s="46"/>
      <c r="F41" t="s">
        <v>55</v>
      </c>
      <c r="G41" s="13" t="str">
        <f>IF(Embalagens[preço] &lt;&gt; "", Embalagens[[#This Row],[preço]] / IF(Embalagens[[#This Row],[medida]] = "unidades", Embalagens[[#This Row],[quantidade]], 1), "")</f>
        <v/>
      </c>
      <c r="H41" s="13" t="str">
        <f>IFERROR(Embalagens[[#This Row],[preço]] / (Embalagens[quantidade] / IF(Embalagens[[#This Row],[medida]] = "Gramas", 1000, IF(Embalagens[[#This Row],[medida]] = "Quilos", 1, 0))), "")</f>
        <v/>
      </c>
      <c r="I41" s="45" t="str">
        <f>IFERROR(Embalagens[[#This Row],[preço]] / (Embalagens[quantidade] * IF(Embalagens[[#This Row],[medida]] = "Gramas", 1, IF(Embalagens[[#This Row],[medida]] = "Quilos", 1000, 0))), "")</f>
        <v/>
      </c>
      <c r="J41" s="45" t="str">
        <f>IFERROR(Embalagens[[#This Row],[preço]] / (Embalagens[quantidade] / IF(Embalagens[[#This Row],[medida]] = "ML", 1000, IF(Embalagens[[#This Row],[medida]] = "Litros", 1, 0))), "")</f>
        <v/>
      </c>
      <c r="K41" s="45" t="str">
        <f>IFERROR(Embalagens[[#This Row],[preço]] / (Embalagens[quantidade] * IF(Embalagens[[#This Row],[medida]] = "ML", 1, IF(Embalagens[[#This Row],[medida]] = "Litros", 1000, 0))), "")</f>
        <v/>
      </c>
    </row>
    <row r="42" spans="2:11">
      <c r="B42">
        <v>14</v>
      </c>
      <c r="D42" s="13"/>
      <c r="E42" s="46"/>
      <c r="F42" t="s">
        <v>55</v>
      </c>
      <c r="G42" s="13" t="str">
        <f>IF(Embalagens[preço] &lt;&gt; "", Embalagens[[#This Row],[preço]] / IF(Embalagens[[#This Row],[medida]] = "unidades", Embalagens[[#This Row],[quantidade]], 1), "")</f>
        <v/>
      </c>
      <c r="H42" s="13" t="str">
        <f>IFERROR(Embalagens[[#This Row],[preço]] / (Embalagens[quantidade] / IF(Embalagens[[#This Row],[medida]] = "Gramas", 1000, IF(Embalagens[[#This Row],[medida]] = "Quilos", 1, 0))), "")</f>
        <v/>
      </c>
      <c r="I42" s="45" t="str">
        <f>IFERROR(Embalagens[[#This Row],[preço]] / (Embalagens[quantidade] * IF(Embalagens[[#This Row],[medida]] = "Gramas", 1, IF(Embalagens[[#This Row],[medida]] = "Quilos", 1000, 0))), "")</f>
        <v/>
      </c>
      <c r="J42" s="45" t="str">
        <f>IFERROR(Embalagens[[#This Row],[preço]] / (Embalagens[quantidade] / IF(Embalagens[[#This Row],[medida]] = "ML", 1000, IF(Embalagens[[#This Row],[medida]] = "Litros", 1, 0))), "")</f>
        <v/>
      </c>
      <c r="K42" s="45" t="str">
        <f>IFERROR(Embalagens[[#This Row],[preço]] / (Embalagens[quantidade] * IF(Embalagens[[#This Row],[medida]] = "ML", 1, IF(Embalagens[[#This Row],[medida]] = "Litros", 1000, 0))), "")</f>
        <v/>
      </c>
    </row>
    <row r="43" spans="2:11">
      <c r="B43">
        <v>15</v>
      </c>
      <c r="D43" s="13"/>
      <c r="E43" s="46"/>
      <c r="F43" t="s">
        <v>55</v>
      </c>
      <c r="G43" s="13" t="str">
        <f>IF(Embalagens[preço] &lt;&gt; "", Embalagens[[#This Row],[preço]] / IF(Embalagens[[#This Row],[medida]] = "unidades", Embalagens[[#This Row],[quantidade]], 1), "")</f>
        <v/>
      </c>
      <c r="H43" s="13" t="str">
        <f>IFERROR(Embalagens[[#This Row],[preço]] / (Embalagens[quantidade] / IF(Embalagens[[#This Row],[medida]] = "Gramas", 1000, IF(Embalagens[[#This Row],[medida]] = "Quilos", 1, 0))), "")</f>
        <v/>
      </c>
      <c r="I43" s="45" t="str">
        <f>IFERROR(Embalagens[[#This Row],[preço]] / (Embalagens[quantidade] * IF(Embalagens[[#This Row],[medida]] = "Gramas", 1, IF(Embalagens[[#This Row],[medida]] = "Quilos", 1000, 0))), "")</f>
        <v/>
      </c>
      <c r="J43" s="45" t="str">
        <f>IFERROR(Embalagens[[#This Row],[preço]] / (Embalagens[quantidade] / IF(Embalagens[[#This Row],[medida]] = "ML", 1000, IF(Embalagens[[#This Row],[medida]] = "Litros", 1, 0))), "")</f>
        <v/>
      </c>
      <c r="K43" s="45" t="str">
        <f>IFERROR(Embalagens[[#This Row],[preço]] / (Embalagens[quantidade] * IF(Embalagens[[#This Row],[medida]] = "ML", 1, IF(Embalagens[[#This Row],[medida]] = "Litros", 1000, 0))), "")</f>
        <v/>
      </c>
    </row>
    <row r="44" spans="2:11">
      <c r="B44">
        <v>23</v>
      </c>
      <c r="D44" s="13"/>
      <c r="E44" s="46"/>
      <c r="F44" t="s">
        <v>55</v>
      </c>
      <c r="G44" s="13" t="str">
        <f>IF(Embalagens[preço] &lt;&gt; "", Embalagens[[#This Row],[preço]] / IF(Embalagens[[#This Row],[medida]] = "unidades", Embalagens[[#This Row],[quantidade]], 1), "")</f>
        <v/>
      </c>
      <c r="H44" s="13" t="str">
        <f>IFERROR(Embalagens[[#This Row],[preço]] / (Embalagens[quantidade] / IF(Embalagens[[#This Row],[medida]] = "Gramas", 1000, IF(Embalagens[[#This Row],[medida]] = "Quilos", 1, 0))), "")</f>
        <v/>
      </c>
      <c r="I44" s="45" t="str">
        <f>IFERROR(Embalagens[[#This Row],[preço]] / (Embalagens[quantidade] * IF(Embalagens[[#This Row],[medida]] = "Gramas", 1, IF(Embalagens[[#This Row],[medida]] = "Quilos", 1000, 0))), "")</f>
        <v/>
      </c>
      <c r="J44" s="45" t="str">
        <f>IFERROR(Embalagens[[#This Row],[preço]] / (Embalagens[quantidade] / IF(Embalagens[[#This Row],[medida]] = "ML", 1000, IF(Embalagens[[#This Row],[medida]] = "Litros", 1, 0))), "")</f>
        <v/>
      </c>
      <c r="K44" s="45" t="str">
        <f>IFERROR(Embalagens[[#This Row],[preço]] / (Embalagens[quantidade] * IF(Embalagens[[#This Row],[medida]] = "ML", 1, IF(Embalagens[[#This Row],[medida]] = "Litros", 1000, 0))), "")</f>
        <v/>
      </c>
    </row>
    <row r="45" spans="2:11">
      <c r="B45">
        <v>20</v>
      </c>
      <c r="D45" s="13"/>
      <c r="E45" s="46"/>
      <c r="F45" t="s">
        <v>55</v>
      </c>
      <c r="G45" s="13" t="str">
        <f>IF(Embalagens[preço] &lt;&gt; "", Embalagens[[#This Row],[preço]] / IF(Embalagens[[#This Row],[medida]] = "unidades", Embalagens[[#This Row],[quantidade]], 1), "")</f>
        <v/>
      </c>
      <c r="H45" s="13" t="str">
        <f>IFERROR(Embalagens[[#This Row],[preço]] / (Embalagens[quantidade] / IF(Embalagens[[#This Row],[medida]] = "Gramas", 1000, IF(Embalagens[[#This Row],[medida]] = "Quilos", 1, 0))), "")</f>
        <v/>
      </c>
      <c r="I45" s="45" t="str">
        <f>IFERROR(Embalagens[[#This Row],[preço]] / (Embalagens[quantidade] * IF(Embalagens[[#This Row],[medida]] = "Gramas", 1, IF(Embalagens[[#This Row],[medida]] = "Quilos", 1000, 0))), "")</f>
        <v/>
      </c>
      <c r="J45" s="45" t="str">
        <f>IFERROR(Embalagens[[#This Row],[preço]] / (Embalagens[quantidade] / IF(Embalagens[[#This Row],[medida]] = "ML", 1000, IF(Embalagens[[#This Row],[medida]] = "Litros", 1, 0))), "")</f>
        <v/>
      </c>
      <c r="K45" s="45" t="str">
        <f>IFERROR(Embalagens[[#This Row],[preço]] / (Embalagens[quantidade] * IF(Embalagens[[#This Row],[medida]] = "ML", 1, IF(Embalagens[[#This Row],[medida]] = "Litros", 1000, 0))), "")</f>
        <v/>
      </c>
    </row>
    <row r="46" spans="2:11">
      <c r="B46">
        <v>16</v>
      </c>
      <c r="D46" s="13"/>
      <c r="E46" s="46"/>
      <c r="F46" t="s">
        <v>55</v>
      </c>
      <c r="G46" s="13" t="str">
        <f>IF(Embalagens[preço] &lt;&gt; "", Embalagens[[#This Row],[preço]] / IF(Embalagens[[#This Row],[medida]] = "unidades", Embalagens[[#This Row],[quantidade]], 1), "")</f>
        <v/>
      </c>
      <c r="H46" s="13" t="str">
        <f>IFERROR(Embalagens[[#This Row],[preço]] / (Embalagens[quantidade] / IF(Embalagens[[#This Row],[medida]] = "Gramas", 1000, IF(Embalagens[[#This Row],[medida]] = "Quilos", 1, 0))), "")</f>
        <v/>
      </c>
      <c r="I46" s="45" t="str">
        <f>IFERROR(Embalagens[[#This Row],[preço]] / (Embalagens[quantidade] * IF(Embalagens[[#This Row],[medida]] = "Gramas", 1, IF(Embalagens[[#This Row],[medida]] = "Quilos", 1000, 0))), "")</f>
        <v/>
      </c>
      <c r="J46" s="45" t="str">
        <f>IFERROR(Embalagens[[#This Row],[preço]] / (Embalagens[quantidade] / IF(Embalagens[[#This Row],[medida]] = "ML", 1000, IF(Embalagens[[#This Row],[medida]] = "Litros", 1, 0))), "")</f>
        <v/>
      </c>
      <c r="K46" s="45" t="str">
        <f>IFERROR(Embalagens[[#This Row],[preço]] / (Embalagens[quantidade] * IF(Embalagens[[#This Row],[medida]] = "ML", 1, IF(Embalagens[[#This Row],[medida]] = "Litros", 1000, 0))), "")</f>
        <v/>
      </c>
    </row>
    <row r="47" spans="2:11">
      <c r="B47">
        <v>7</v>
      </c>
      <c r="D47" s="13"/>
      <c r="E47" s="46"/>
      <c r="F47" t="s">
        <v>55</v>
      </c>
      <c r="G47" s="13" t="str">
        <f>IF(Embalagens[preço] &lt;&gt; "", Embalagens[[#This Row],[preço]] / IF(Embalagens[[#This Row],[medida]] = "unidades", Embalagens[[#This Row],[quantidade]], 1), "")</f>
        <v/>
      </c>
      <c r="H47" s="13" t="str">
        <f>IFERROR(Embalagens[[#This Row],[preço]] / (Embalagens[quantidade] / IF(Embalagens[[#This Row],[medida]] = "Gramas", 1000, IF(Embalagens[[#This Row],[medida]] = "Quilos", 1, 0))), "")</f>
        <v/>
      </c>
      <c r="I47" s="45" t="str">
        <f>IFERROR(Embalagens[[#This Row],[preço]] / (Embalagens[quantidade] * IF(Embalagens[[#This Row],[medida]] = "Gramas", 1, IF(Embalagens[[#This Row],[medida]] = "Quilos", 1000, 0))), "")</f>
        <v/>
      </c>
      <c r="J47" s="45" t="str">
        <f>IFERROR(Embalagens[[#This Row],[preço]] / (Embalagens[quantidade] / IF(Embalagens[[#This Row],[medida]] = "ML", 1000, IF(Embalagens[[#This Row],[medida]] = "Litros", 1, 0))), "")</f>
        <v/>
      </c>
      <c r="K47" s="45" t="str">
        <f>IFERROR(Embalagens[[#This Row],[preço]] / (Embalagens[quantidade] * IF(Embalagens[[#This Row],[medida]] = "ML", 1, IF(Embalagens[[#This Row],[medida]] = "Litros", 1000, 0))), "")</f>
        <v/>
      </c>
    </row>
    <row r="48" spans="2:11">
      <c r="B48">
        <v>13</v>
      </c>
      <c r="D48" s="13"/>
      <c r="E48" s="46"/>
      <c r="F48" t="s">
        <v>55</v>
      </c>
      <c r="G48" s="13" t="str">
        <f>IF(Embalagens[preço] &lt;&gt; "", Embalagens[[#This Row],[preço]] / IF(Embalagens[[#This Row],[medida]] = "unidades", Embalagens[[#This Row],[quantidade]], 1), "")</f>
        <v/>
      </c>
      <c r="H48" s="13" t="str">
        <f>IFERROR(Embalagens[[#This Row],[preço]] / (Embalagens[quantidade] / IF(Embalagens[[#This Row],[medida]] = "Gramas", 1000, IF(Embalagens[[#This Row],[medida]] = "Quilos", 1, 0))), "")</f>
        <v/>
      </c>
      <c r="I48" s="45" t="str">
        <f>IFERROR(Embalagens[[#This Row],[preço]] / (Embalagens[quantidade] * IF(Embalagens[[#This Row],[medida]] = "Gramas", 1, IF(Embalagens[[#This Row],[medida]] = "Quilos", 1000, 0))), "")</f>
        <v/>
      </c>
      <c r="J48" s="45" t="str">
        <f>IFERROR(Embalagens[[#This Row],[preço]] / (Embalagens[quantidade] / IF(Embalagens[[#This Row],[medida]] = "ML", 1000, IF(Embalagens[[#This Row],[medida]] = "Litros", 1, 0))), "")</f>
        <v/>
      </c>
      <c r="K48" s="45" t="str">
        <f>IFERROR(Embalagens[[#This Row],[preço]] / (Embalagens[quantidade] * IF(Embalagens[[#This Row],[medida]] = "ML", 1, IF(Embalagens[[#This Row],[medida]] = "Litros", 1000, 0))), "")</f>
        <v/>
      </c>
    </row>
    <row r="49" spans="2:11">
      <c r="B49">
        <v>17</v>
      </c>
      <c r="D49" s="13"/>
      <c r="E49" s="46"/>
      <c r="F49" t="s">
        <v>55</v>
      </c>
      <c r="G49" s="13" t="str">
        <f>IF(Embalagens[preço] &lt;&gt; "", Embalagens[[#This Row],[preço]] / IF(Embalagens[[#This Row],[medida]] = "unidades", Embalagens[[#This Row],[quantidade]], 1), "")</f>
        <v/>
      </c>
      <c r="H49" s="13" t="str">
        <f>IFERROR(Embalagens[[#This Row],[preço]] / (Embalagens[quantidade] / IF(Embalagens[[#This Row],[medida]] = "Gramas", 1000, IF(Embalagens[[#This Row],[medida]] = "Quilos", 1, 0))), "")</f>
        <v/>
      </c>
      <c r="I49" s="45" t="str">
        <f>IFERROR(Embalagens[[#This Row],[preço]] / (Embalagens[quantidade] * IF(Embalagens[[#This Row],[medida]] = "Gramas", 1, IF(Embalagens[[#This Row],[medida]] = "Quilos", 1000, 0))), "")</f>
        <v/>
      </c>
      <c r="J49" s="45" t="str">
        <f>IFERROR(Embalagens[[#This Row],[preço]] / (Embalagens[quantidade] / IF(Embalagens[[#This Row],[medida]] = "ML", 1000, IF(Embalagens[[#This Row],[medida]] = "Litros", 1, 0))), "")</f>
        <v/>
      </c>
      <c r="K49" s="45" t="str">
        <f>IFERROR(Embalagens[[#This Row],[preço]] / (Embalagens[quantidade] * IF(Embalagens[[#This Row],[medida]] = "ML", 1, IF(Embalagens[[#This Row],[medida]] = "Litros", 1000, 0))), "")</f>
        <v/>
      </c>
    </row>
    <row r="50" spans="2:11">
      <c r="B50">
        <v>46</v>
      </c>
      <c r="D50" s="13"/>
      <c r="E50" s="46"/>
      <c r="F50" t="s">
        <v>55</v>
      </c>
      <c r="G50" s="13" t="str">
        <f>IF(Embalagens[preço] &lt;&gt; "", Embalagens[[#This Row],[preço]] / IF(Embalagens[[#This Row],[medida]] = "unidades", Embalagens[[#This Row],[quantidade]], 1), "")</f>
        <v/>
      </c>
      <c r="H50" s="13" t="str">
        <f>IFERROR(Embalagens[[#This Row],[preço]] / (Embalagens[quantidade] / IF(Embalagens[[#This Row],[medida]] = "Gramas", 1000, IF(Embalagens[[#This Row],[medida]] = "Quilos", 1, 0))), "")</f>
        <v/>
      </c>
      <c r="I50" s="45" t="str">
        <f>IFERROR(Embalagens[[#This Row],[preço]] / (Embalagens[quantidade] * IF(Embalagens[[#This Row],[medida]] = "Gramas", 1, IF(Embalagens[[#This Row],[medida]] = "Quilos", 1000, 0))), "")</f>
        <v/>
      </c>
      <c r="J50" s="45" t="str">
        <f>IFERROR(Embalagens[[#This Row],[preço]] / (Embalagens[quantidade] / IF(Embalagens[[#This Row],[medida]] = "ML", 1000, IF(Embalagens[[#This Row],[medida]] = "Litros", 1, 0))), "")</f>
        <v/>
      </c>
      <c r="K50" s="45" t="str">
        <f>IFERROR(Embalagens[[#This Row],[preço]] / (Embalagens[quantidade] * IF(Embalagens[[#This Row],[medida]] = "ML", 1, IF(Embalagens[[#This Row],[medida]] = "Litros", 1000, 0))), "")</f>
        <v/>
      </c>
    </row>
    <row r="51" spans="2:11">
      <c r="B51">
        <v>33</v>
      </c>
      <c r="D51" s="13"/>
      <c r="E51" s="46"/>
      <c r="F51" t="s">
        <v>55</v>
      </c>
      <c r="G51" s="13" t="str">
        <f>IF(Embalagens[preço] &lt;&gt; "", Embalagens[[#This Row],[preço]] / IF(Embalagens[[#This Row],[medida]] = "unidades", Embalagens[[#This Row],[quantidade]], 1), "")</f>
        <v/>
      </c>
      <c r="H51" s="13" t="str">
        <f>IFERROR(Embalagens[[#This Row],[preço]] / (Embalagens[quantidade] / IF(Embalagens[[#This Row],[medida]] = "Gramas", 1000, IF(Embalagens[[#This Row],[medida]] = "Quilos", 1, 0))), "")</f>
        <v/>
      </c>
      <c r="I51" s="45" t="str">
        <f>IFERROR(Embalagens[[#This Row],[preço]] / (Embalagens[quantidade] * IF(Embalagens[[#This Row],[medida]] = "Gramas", 1, IF(Embalagens[[#This Row],[medida]] = "Quilos", 1000, 0))), "")</f>
        <v/>
      </c>
      <c r="J51" s="45" t="str">
        <f>IFERROR(Embalagens[[#This Row],[preço]] / (Embalagens[quantidade] / IF(Embalagens[[#This Row],[medida]] = "ML", 1000, IF(Embalagens[[#This Row],[medida]] = "Litros", 1, 0))), "")</f>
        <v/>
      </c>
      <c r="K51" s="45" t="str">
        <f>IFERROR(Embalagens[[#This Row],[preço]] / (Embalagens[quantidade] * IF(Embalagens[[#This Row],[medida]] = "ML", 1, IF(Embalagens[[#This Row],[medida]] = "Litros", 1000, 0))), "")</f>
        <v/>
      </c>
    </row>
    <row r="52" spans="2:11">
      <c r="B52">
        <v>42</v>
      </c>
      <c r="D52" s="13"/>
      <c r="E52" s="46"/>
      <c r="F52" t="s">
        <v>55</v>
      </c>
      <c r="G52" s="13" t="str">
        <f>IF(Embalagens[preço] &lt;&gt; "", Embalagens[[#This Row],[preço]] / IF(Embalagens[[#This Row],[medida]] = "unidades", Embalagens[[#This Row],[quantidade]], 1), "")</f>
        <v/>
      </c>
      <c r="H52" s="13" t="str">
        <f>IFERROR(Embalagens[[#This Row],[preço]] / (Embalagens[quantidade] / IF(Embalagens[[#This Row],[medida]] = "Gramas", 1000, IF(Embalagens[[#This Row],[medida]] = "Quilos", 1, 0))), "")</f>
        <v/>
      </c>
      <c r="I52" s="45" t="str">
        <f>IFERROR(Embalagens[[#This Row],[preço]] / (Embalagens[quantidade] * IF(Embalagens[[#This Row],[medida]] = "Gramas", 1, IF(Embalagens[[#This Row],[medida]] = "Quilos", 1000, 0))), "")</f>
        <v/>
      </c>
      <c r="J52" s="45" t="str">
        <f>IFERROR(Embalagens[[#This Row],[preço]] / (Embalagens[quantidade] / IF(Embalagens[[#This Row],[medida]] = "ML", 1000, IF(Embalagens[[#This Row],[medida]] = "Litros", 1, 0))), "")</f>
        <v/>
      </c>
      <c r="K52" s="45" t="str">
        <f>IFERROR(Embalagens[[#This Row],[preço]] / (Embalagens[quantidade] * IF(Embalagens[[#This Row],[medida]] = "ML", 1, IF(Embalagens[[#This Row],[medida]] = "Litros", 1000, 0))), "")</f>
        <v/>
      </c>
    </row>
    <row r="53" spans="2:11">
      <c r="B53">
        <v>43</v>
      </c>
      <c r="D53" s="13"/>
      <c r="E53" s="46"/>
      <c r="F53" t="s">
        <v>55</v>
      </c>
      <c r="G53" s="13" t="str">
        <f>IF(Embalagens[preço] &lt;&gt; "", Embalagens[[#This Row],[preço]] / IF(Embalagens[[#This Row],[medida]] = "unidades", Embalagens[[#This Row],[quantidade]], 1), "")</f>
        <v/>
      </c>
      <c r="H53" s="13" t="str">
        <f>IFERROR(Embalagens[[#This Row],[preço]] / (Embalagens[quantidade] / IF(Embalagens[[#This Row],[medida]] = "Gramas", 1000, IF(Embalagens[[#This Row],[medida]] = "Quilos", 1, 0))), "")</f>
        <v/>
      </c>
      <c r="I53" s="45" t="str">
        <f>IFERROR(Embalagens[[#This Row],[preço]] / (Embalagens[quantidade] * IF(Embalagens[[#This Row],[medida]] = "Gramas", 1, IF(Embalagens[[#This Row],[medida]] = "Quilos", 1000, 0))), "")</f>
        <v/>
      </c>
      <c r="J53" s="45" t="str">
        <f>IFERROR(Embalagens[[#This Row],[preço]] / (Embalagens[quantidade] / IF(Embalagens[[#This Row],[medida]] = "ML", 1000, IF(Embalagens[[#This Row],[medida]] = "Litros", 1, 0))), "")</f>
        <v/>
      </c>
      <c r="K53" s="45" t="str">
        <f>IFERROR(Embalagens[[#This Row],[preço]] / (Embalagens[quantidade] * IF(Embalagens[[#This Row],[medida]] = "ML", 1, IF(Embalagens[[#This Row],[medida]] = "Litros", 1000, 0))), "")</f>
        <v/>
      </c>
    </row>
    <row r="54" spans="2:11">
      <c r="B54">
        <v>50</v>
      </c>
      <c r="D54" s="13"/>
      <c r="E54" s="46"/>
      <c r="F54" t="s">
        <v>55</v>
      </c>
      <c r="G54" s="13" t="str">
        <f>IF(Embalagens[preço] &lt;&gt; "", Embalagens[[#This Row],[preço]] / IF(Embalagens[[#This Row],[medida]] = "unidades", Embalagens[[#This Row],[quantidade]], 1), "")</f>
        <v/>
      </c>
      <c r="H54" s="13" t="str">
        <f>IFERROR(Embalagens[[#This Row],[preço]] / (Embalagens[quantidade] / IF(Embalagens[[#This Row],[medida]] = "Gramas", 1000, IF(Embalagens[[#This Row],[medida]] = "Quilos", 1, 0))), "")</f>
        <v/>
      </c>
      <c r="I54" s="45" t="str">
        <f>IFERROR(Embalagens[[#This Row],[preço]] / (Embalagens[quantidade] * IF(Embalagens[[#This Row],[medida]] = "Gramas", 1, IF(Embalagens[[#This Row],[medida]] = "Quilos", 1000, 0))), "")</f>
        <v/>
      </c>
      <c r="J54" s="45" t="str">
        <f>IFERROR(Embalagens[[#This Row],[preço]] / (Embalagens[quantidade] / IF(Embalagens[[#This Row],[medida]] = "ML", 1000, IF(Embalagens[[#This Row],[medida]] = "Litros", 1, 0))), "")</f>
        <v/>
      </c>
      <c r="K54" s="45" t="str">
        <f>IFERROR(Embalagens[[#This Row],[preço]] / (Embalagens[quantidade] * IF(Embalagens[[#This Row],[medida]] = "ML", 1, IF(Embalagens[[#This Row],[medida]] = "Litros", 1000, 0))), "")</f>
        <v/>
      </c>
    </row>
    <row r="55" spans="2:11">
      <c r="B55">
        <v>18</v>
      </c>
      <c r="D55" s="13"/>
      <c r="E55" s="46"/>
      <c r="F55" t="s">
        <v>55</v>
      </c>
      <c r="G55" s="13" t="str">
        <f>IF(Embalagens[preço] &lt;&gt; "", Embalagens[[#This Row],[preço]] / IF(Embalagens[[#This Row],[medida]] = "unidades", Embalagens[[#This Row],[quantidade]], 1), "")</f>
        <v/>
      </c>
      <c r="H55" s="13" t="str">
        <f>IFERROR(Embalagens[[#This Row],[preço]] / (Embalagens[quantidade] / IF(Embalagens[[#This Row],[medida]] = "Gramas", 1000, IF(Embalagens[[#This Row],[medida]] = "Quilos", 1, 0))), "")</f>
        <v/>
      </c>
      <c r="I55" s="45" t="str">
        <f>IFERROR(Embalagens[[#This Row],[preço]] / (Embalagens[quantidade] * IF(Embalagens[[#This Row],[medida]] = "Gramas", 1, IF(Embalagens[[#This Row],[medida]] = "Quilos", 1000, 0))), "")</f>
        <v/>
      </c>
      <c r="J55" s="45" t="str">
        <f>IFERROR(Embalagens[[#This Row],[preço]] / (Embalagens[quantidade] / IF(Embalagens[[#This Row],[medida]] = "ML", 1000, IF(Embalagens[[#This Row],[medida]] = "Litros", 1, 0))), "")</f>
        <v/>
      </c>
      <c r="K55" s="45" t="str">
        <f>IFERROR(Embalagens[[#This Row],[preço]] / (Embalagens[quantidade] * IF(Embalagens[[#This Row],[medida]] = "ML", 1, IF(Embalagens[[#This Row],[medida]] = "Litros", 1000, 0))), "")</f>
        <v/>
      </c>
    </row>
    <row r="56" spans="2:11">
      <c r="B56">
        <v>9</v>
      </c>
      <c r="D56" s="13"/>
      <c r="E56" s="46"/>
      <c r="F56" t="s">
        <v>55</v>
      </c>
      <c r="G56" s="13" t="str">
        <f>IF(Embalagens[preço] &lt;&gt; "", Embalagens[[#This Row],[preço]] / IF(Embalagens[[#This Row],[medida]] = "unidades", Embalagens[[#This Row],[quantidade]], 1), "")</f>
        <v/>
      </c>
      <c r="H56" s="13" t="str">
        <f>IFERROR(Embalagens[[#This Row],[preço]] / (Embalagens[quantidade] / IF(Embalagens[[#This Row],[medida]] = "Gramas", 1000, IF(Embalagens[[#This Row],[medida]] = "Quilos", 1, 0))), "")</f>
        <v/>
      </c>
      <c r="I56" s="45" t="str">
        <f>IFERROR(Embalagens[[#This Row],[preço]] / (Embalagens[quantidade] * IF(Embalagens[[#This Row],[medida]] = "Gramas", 1, IF(Embalagens[[#This Row],[medida]] = "Quilos", 1000, 0))), "")</f>
        <v/>
      </c>
      <c r="J56" s="45" t="str">
        <f>IFERROR(Embalagens[[#This Row],[preço]] / (Embalagens[quantidade] / IF(Embalagens[[#This Row],[medida]] = "ML", 1000, IF(Embalagens[[#This Row],[medida]] = "Litros", 1, 0))), "")</f>
        <v/>
      </c>
      <c r="K56" s="45" t="str">
        <f>IFERROR(Embalagens[[#This Row],[preço]] / (Embalagens[quantidade] * IF(Embalagens[[#This Row],[medida]] = "ML", 1, IF(Embalagens[[#This Row],[medida]] = "Litros", 1000, 0))), "")</f>
        <v/>
      </c>
    </row>
    <row r="57" spans="2:11">
      <c r="B57">
        <v>2</v>
      </c>
      <c r="D57" s="13"/>
      <c r="E57" s="46"/>
      <c r="F57" t="s">
        <v>55</v>
      </c>
      <c r="G57" s="13" t="str">
        <f>IF(Embalagens[preço] &lt;&gt; "", Embalagens[[#This Row],[preço]] / IF(Embalagens[[#This Row],[medida]] = "unidades", Embalagens[[#This Row],[quantidade]], 1), "")</f>
        <v/>
      </c>
      <c r="H57" s="13" t="str">
        <f>IFERROR(Embalagens[[#This Row],[preço]] / (Embalagens[quantidade] / IF(Embalagens[[#This Row],[medida]] = "Gramas", 1000, IF(Embalagens[[#This Row],[medida]] = "Quilos", 1, 0))), "")</f>
        <v/>
      </c>
      <c r="I57" s="45" t="str">
        <f>IFERROR(Embalagens[[#This Row],[preço]] / (Embalagens[quantidade] * IF(Embalagens[[#This Row],[medida]] = "Gramas", 1, IF(Embalagens[[#This Row],[medida]] = "Quilos", 1000, 0))), "")</f>
        <v/>
      </c>
      <c r="J57" s="45" t="str">
        <f>IFERROR(Embalagens[[#This Row],[preço]] / (Embalagens[quantidade] / IF(Embalagens[[#This Row],[medida]] = "ML", 1000, IF(Embalagens[[#This Row],[medida]] = "Litros", 1, 0))), "")</f>
        <v/>
      </c>
      <c r="K57" s="45" t="str">
        <f>IFERROR(Embalagens[[#This Row],[preço]] / (Embalagens[quantidade] * IF(Embalagens[[#This Row],[medida]] = "ML", 1, IF(Embalagens[[#This Row],[medida]] = "Litros", 1000, 0))), "")</f>
        <v/>
      </c>
    </row>
    <row r="58" spans="2:11">
      <c r="B58">
        <v>25</v>
      </c>
      <c r="D58" s="13"/>
      <c r="E58" s="46"/>
      <c r="F58" t="s">
        <v>55</v>
      </c>
      <c r="G58" s="13" t="str">
        <f>IF(Embalagens[preço] &lt;&gt; "", Embalagens[[#This Row],[preço]] / IF(Embalagens[[#This Row],[medida]] = "unidades", Embalagens[[#This Row],[quantidade]], 1), "")</f>
        <v/>
      </c>
      <c r="H58" s="13" t="str">
        <f>IFERROR(Embalagens[[#This Row],[preço]] / (Embalagens[quantidade] / IF(Embalagens[[#This Row],[medida]] = "Gramas", 1000, IF(Embalagens[[#This Row],[medida]] = "Quilos", 1, 0))), "")</f>
        <v/>
      </c>
      <c r="I58" s="45" t="str">
        <f>IFERROR(Embalagens[[#This Row],[preço]] / (Embalagens[quantidade] * IF(Embalagens[[#This Row],[medida]] = "Gramas", 1, IF(Embalagens[[#This Row],[medida]] = "Quilos", 1000, 0))), "")</f>
        <v/>
      </c>
      <c r="J58" s="45" t="str">
        <f>IFERROR(Embalagens[[#This Row],[preço]] / (Embalagens[quantidade] / IF(Embalagens[[#This Row],[medida]] = "ML", 1000, IF(Embalagens[[#This Row],[medida]] = "Litros", 1, 0))), "")</f>
        <v/>
      </c>
      <c r="K58" s="45" t="str">
        <f>IFERROR(Embalagens[[#This Row],[preço]] / (Embalagens[quantidade] * IF(Embalagens[[#This Row],[medida]] = "ML", 1, IF(Embalagens[[#This Row],[medida]] = "Litros", 1000, 0))), "")</f>
        <v/>
      </c>
    </row>
    <row r="59" spans="2:11">
      <c r="B59">
        <v>48</v>
      </c>
      <c r="D59" s="13"/>
      <c r="E59" s="46"/>
      <c r="F59" t="s">
        <v>55</v>
      </c>
      <c r="G59" s="13" t="str">
        <f>IF(Embalagens[preço] &lt;&gt; "", Embalagens[[#This Row],[preço]] / IF(Embalagens[[#This Row],[medida]] = "unidades", Embalagens[[#This Row],[quantidade]], 1), "")</f>
        <v/>
      </c>
      <c r="H59" s="13" t="str">
        <f>IFERROR(Embalagens[[#This Row],[preço]] / (Embalagens[quantidade] / IF(Embalagens[[#This Row],[medida]] = "Gramas", 1000, IF(Embalagens[[#This Row],[medida]] = "Quilos", 1, 0))), "")</f>
        <v/>
      </c>
      <c r="I59" s="45" t="str">
        <f>IFERROR(Embalagens[[#This Row],[preço]] / (Embalagens[quantidade] * IF(Embalagens[[#This Row],[medida]] = "Gramas", 1, IF(Embalagens[[#This Row],[medida]] = "Quilos", 1000, 0))), "")</f>
        <v/>
      </c>
      <c r="J59" s="45" t="str">
        <f>IFERROR(Embalagens[[#This Row],[preço]] / (Embalagens[quantidade] / IF(Embalagens[[#This Row],[medida]] = "ML", 1000, IF(Embalagens[[#This Row],[medida]] = "Litros", 1, 0))), "")</f>
        <v/>
      </c>
      <c r="K59" s="45" t="str">
        <f>IFERROR(Embalagens[[#This Row],[preço]] / (Embalagens[quantidade] * IF(Embalagens[[#This Row],[medida]] = "ML", 1, IF(Embalagens[[#This Row],[medida]] = "Litros", 1000, 0))), "")</f>
        <v/>
      </c>
    </row>
    <row r="60" spans="2:11">
      <c r="B60">
        <v>26</v>
      </c>
      <c r="D60" s="13"/>
      <c r="E60" s="46"/>
      <c r="F60" t="s">
        <v>55</v>
      </c>
      <c r="G60" s="13" t="str">
        <f>IF(Embalagens[preço] &lt;&gt; "", Embalagens[[#This Row],[preço]] / IF(Embalagens[[#This Row],[medida]] = "unidades", Embalagens[[#This Row],[quantidade]], 1), "")</f>
        <v/>
      </c>
      <c r="H60" s="13" t="str">
        <f>IFERROR(Embalagens[[#This Row],[preço]] / (Embalagens[quantidade] / IF(Embalagens[[#This Row],[medida]] = "Gramas", 1000, IF(Embalagens[[#This Row],[medida]] = "Quilos", 1, 0))), "")</f>
        <v/>
      </c>
      <c r="I60" s="45" t="str">
        <f>IFERROR(Embalagens[[#This Row],[preço]] / (Embalagens[quantidade] * IF(Embalagens[[#This Row],[medida]] = "Gramas", 1, IF(Embalagens[[#This Row],[medida]] = "Quilos", 1000, 0))), "")</f>
        <v/>
      </c>
      <c r="J60" s="45" t="str">
        <f>IFERROR(Embalagens[[#This Row],[preço]] / (Embalagens[quantidade] / IF(Embalagens[[#This Row],[medida]] = "ML", 1000, IF(Embalagens[[#This Row],[medida]] = "Litros", 1, 0))), "")</f>
        <v/>
      </c>
      <c r="K60" s="45" t="str">
        <f>IFERROR(Embalagens[[#This Row],[preço]] / (Embalagens[quantidade] * IF(Embalagens[[#This Row],[medida]] = "ML", 1, IF(Embalagens[[#This Row],[medida]] = "Litros", 1000, 0))), "")</f>
        <v/>
      </c>
    </row>
    <row r="61" spans="2:11">
      <c r="B61">
        <v>49</v>
      </c>
      <c r="D61" s="13"/>
      <c r="E61" s="46"/>
      <c r="F61" t="s">
        <v>55</v>
      </c>
      <c r="G61" s="13" t="str">
        <f>IF(Embalagens[preço] &lt;&gt; "", Embalagens[[#This Row],[preço]] / IF(Embalagens[[#This Row],[medida]] = "unidades", Embalagens[[#This Row],[quantidade]], 1), "")</f>
        <v/>
      </c>
      <c r="H61" s="13" t="str">
        <f>IFERROR(Embalagens[[#This Row],[preço]] / (Embalagens[quantidade] / IF(Embalagens[[#This Row],[medida]] = "Gramas", 1000, IF(Embalagens[[#This Row],[medida]] = "Quilos", 1, 0))), "")</f>
        <v/>
      </c>
      <c r="I61" s="45" t="str">
        <f>IFERROR(Embalagens[[#This Row],[preço]] / (Embalagens[quantidade] * IF(Embalagens[[#This Row],[medida]] = "Gramas", 1, IF(Embalagens[[#This Row],[medida]] = "Quilos", 1000, 0))), "")</f>
        <v/>
      </c>
      <c r="J61" s="45" t="str">
        <f>IFERROR(Embalagens[[#This Row],[preço]] / (Embalagens[quantidade] / IF(Embalagens[[#This Row],[medida]] = "ML", 1000, IF(Embalagens[[#This Row],[medida]] = "Litros", 1, 0))), "")</f>
        <v/>
      </c>
      <c r="K61" s="45" t="str">
        <f>IFERROR(Embalagens[[#This Row],[preço]] / (Embalagens[quantidade] * IF(Embalagens[[#This Row],[medida]] = "ML", 1, IF(Embalagens[[#This Row],[medida]] = "Litros", 1000, 0))), "")</f>
        <v/>
      </c>
    </row>
    <row r="62" spans="2:11">
      <c r="B62">
        <v>37</v>
      </c>
      <c r="D62" s="13"/>
      <c r="E62" s="46"/>
      <c r="F62" t="s">
        <v>55</v>
      </c>
      <c r="G62" s="13" t="str">
        <f>IF(Embalagens[preço] &lt;&gt; "", Embalagens[[#This Row],[preço]] / IF(Embalagens[[#This Row],[medida]] = "unidades", Embalagens[[#This Row],[quantidade]], 1), "")</f>
        <v/>
      </c>
      <c r="H62" s="13" t="str">
        <f>IFERROR(Embalagens[[#This Row],[preço]] / (Embalagens[quantidade] / IF(Embalagens[[#This Row],[medida]] = "Gramas", 1000, IF(Embalagens[[#This Row],[medida]] = "Quilos", 1, 0))), "")</f>
        <v/>
      </c>
      <c r="I62" s="45" t="str">
        <f>IFERROR(Embalagens[[#This Row],[preço]] / (Embalagens[quantidade] * IF(Embalagens[[#This Row],[medida]] = "Gramas", 1, IF(Embalagens[[#This Row],[medida]] = "Quilos", 1000, 0))), "")</f>
        <v/>
      </c>
      <c r="J62" s="45" t="str">
        <f>IFERROR(Embalagens[[#This Row],[preço]] / (Embalagens[quantidade] / IF(Embalagens[[#This Row],[medida]] = "ML", 1000, IF(Embalagens[[#This Row],[medida]] = "Litros", 1, 0))), "")</f>
        <v/>
      </c>
      <c r="K62" s="45" t="str">
        <f>IFERROR(Embalagens[[#This Row],[preço]] / (Embalagens[quantidade] * IF(Embalagens[[#This Row],[medida]] = "ML", 1, IF(Embalagens[[#This Row],[medida]] = "Litros", 1000, 0))), "")</f>
        <v/>
      </c>
    </row>
    <row r="63" spans="2:11">
      <c r="B63">
        <v>4</v>
      </c>
      <c r="D63" s="13"/>
      <c r="E63" s="46"/>
      <c r="F63" t="s">
        <v>55</v>
      </c>
      <c r="G63" s="13" t="str">
        <f>IF(Embalagens[preço] &lt;&gt; "", Embalagens[[#This Row],[preço]] / IF(Embalagens[[#This Row],[medida]] = "unidades", Embalagens[[#This Row],[quantidade]], 1), "")</f>
        <v/>
      </c>
      <c r="H63" s="13" t="str">
        <f>IFERROR(Embalagens[[#This Row],[preço]] / (Embalagens[quantidade] / IF(Embalagens[[#This Row],[medida]] = "Gramas", 1000, IF(Embalagens[[#This Row],[medida]] = "Quilos", 1, 0))), "")</f>
        <v/>
      </c>
      <c r="I63" s="45" t="str">
        <f>IFERROR(Embalagens[[#This Row],[preço]] / (Embalagens[quantidade] * IF(Embalagens[[#This Row],[medida]] = "Gramas", 1, IF(Embalagens[[#This Row],[medida]] = "Quilos", 1000, 0))), "")</f>
        <v/>
      </c>
      <c r="J63" s="45" t="str">
        <f>IFERROR(Embalagens[[#This Row],[preço]] / (Embalagens[quantidade] / IF(Embalagens[[#This Row],[medida]] = "ML", 1000, IF(Embalagens[[#This Row],[medida]] = "Litros", 1, 0))), "")</f>
        <v/>
      </c>
      <c r="K63" s="45" t="str">
        <f>IFERROR(Embalagens[[#This Row],[preço]] / (Embalagens[quantidade] * IF(Embalagens[[#This Row],[medida]] = "ML", 1, IF(Embalagens[[#This Row],[medida]] = "Litros", 1000, 0))), "")</f>
        <v/>
      </c>
    </row>
    <row r="64" spans="2:11">
      <c r="B64">
        <v>3</v>
      </c>
      <c r="D64" s="13"/>
      <c r="E64" s="46"/>
      <c r="F64" t="s">
        <v>55</v>
      </c>
      <c r="G64" s="13" t="str">
        <f>IF(Embalagens[preço] &lt;&gt; "", Embalagens[[#This Row],[preço]] / IF(Embalagens[[#This Row],[medida]] = "unidades", Embalagens[[#This Row],[quantidade]], 1), "")</f>
        <v/>
      </c>
      <c r="H64" s="13" t="str">
        <f>IFERROR(Embalagens[[#This Row],[preço]] / (Embalagens[quantidade] / IF(Embalagens[[#This Row],[medida]] = "Gramas", 1000, IF(Embalagens[[#This Row],[medida]] = "Quilos", 1, 0))), "")</f>
        <v/>
      </c>
      <c r="I64" s="45" t="str">
        <f>IFERROR(Embalagens[[#This Row],[preço]] / (Embalagens[quantidade] * IF(Embalagens[[#This Row],[medida]] = "Gramas", 1, IF(Embalagens[[#This Row],[medida]] = "Quilos", 1000, 0))), "")</f>
        <v/>
      </c>
      <c r="J64" s="45" t="str">
        <f>IFERROR(Embalagens[[#This Row],[preço]] / (Embalagens[quantidade] / IF(Embalagens[[#This Row],[medida]] = "ML", 1000, IF(Embalagens[[#This Row],[medida]] = "Litros", 1, 0))), "")</f>
        <v/>
      </c>
      <c r="K64" s="45" t="str">
        <f>IFERROR(Embalagens[[#This Row],[preço]] / (Embalagens[quantidade] * IF(Embalagens[[#This Row],[medida]] = "ML", 1, IF(Embalagens[[#This Row],[medida]] = "Litros", 1000, 0))), "")</f>
        <v/>
      </c>
    </row>
    <row r="65" spans="2:11">
      <c r="B65">
        <v>19</v>
      </c>
      <c r="D65" s="13"/>
      <c r="E65" s="46"/>
      <c r="F65" t="s">
        <v>55</v>
      </c>
      <c r="G65" s="13" t="str">
        <f>IF(Embalagens[preço] &lt;&gt; "", Embalagens[[#This Row],[preço]] / IF(Embalagens[[#This Row],[medida]] = "unidades", Embalagens[[#This Row],[quantidade]], 1), "")</f>
        <v/>
      </c>
      <c r="H65" s="13" t="str">
        <f>IFERROR(Embalagens[[#This Row],[preço]] / (Embalagens[quantidade] / IF(Embalagens[[#This Row],[medida]] = "Gramas", 1000, IF(Embalagens[[#This Row],[medida]] = "Quilos", 1, 0))), "")</f>
        <v/>
      </c>
      <c r="I65" s="45" t="str">
        <f>IFERROR(Embalagens[[#This Row],[preço]] / (Embalagens[quantidade] * IF(Embalagens[[#This Row],[medida]] = "Gramas", 1, IF(Embalagens[[#This Row],[medida]] = "Quilos", 1000, 0))), "")</f>
        <v/>
      </c>
      <c r="J65" s="45" t="str">
        <f>IFERROR(Embalagens[[#This Row],[preço]] / (Embalagens[quantidade] / IF(Embalagens[[#This Row],[medida]] = "ML", 1000, IF(Embalagens[[#This Row],[medida]] = "Litros", 1, 0))), "")</f>
        <v/>
      </c>
      <c r="K65" s="45" t="str">
        <f>IFERROR(Embalagens[[#This Row],[preço]] / (Embalagens[quantidade] * IF(Embalagens[[#This Row],[medida]] = "ML", 1, IF(Embalagens[[#This Row],[medida]] = "Litros", 1000, 0))), "")</f>
        <v/>
      </c>
    </row>
    <row r="66" spans="2:11">
      <c r="B66">
        <v>52</v>
      </c>
      <c r="D66" s="13"/>
      <c r="E66" s="46"/>
      <c r="G66" s="13" t="str">
        <f>IF(Embalagens[preço] &lt;&gt; "", Embalagens[[#This Row],[preço]] / IF(Embalagens[[#This Row],[medida]] = "unidades", Embalagens[[#This Row],[quantidade]], 1), "")</f>
        <v/>
      </c>
      <c r="H66" s="13" t="str">
        <f>IFERROR(Embalagens[[#This Row],[preço]] / (Embalagens[quantidade] / IF(Embalagens[[#This Row],[medida]] = "Gramas", 1000, IF(Embalagens[[#This Row],[medida]] = "Quilos", 1, 0))), "")</f>
        <v/>
      </c>
      <c r="I66" s="45" t="str">
        <f>IFERROR(Embalagens[[#This Row],[preço]] / (Embalagens[quantidade] * IF(Embalagens[[#This Row],[medida]] = "Gramas", 1, IF(Embalagens[[#This Row],[medida]] = "Quilos", 1000, 0))), "")</f>
        <v/>
      </c>
      <c r="J66" s="45" t="str">
        <f>IFERROR(Embalagens[[#This Row],[preço]] / (Embalagens[quantidade] / IF(Embalagens[[#This Row],[medida]] = "ML", 1000, IF(Embalagens[[#This Row],[medida]] = "Litros", 1, 0))), "")</f>
        <v/>
      </c>
      <c r="K66" s="45" t="str">
        <f>IFERROR(Embalagens[[#This Row],[preço]] / (Embalagens[quantidade] * IF(Embalagens[[#This Row],[medida]] = "ML", 1, IF(Embalagens[[#This Row],[medida]] = "Litros", 1000, 0))), "")</f>
        <v/>
      </c>
    </row>
    <row r="67" spans="2:11">
      <c r="B67">
        <v>53</v>
      </c>
      <c r="D67" s="13"/>
      <c r="E67" s="46"/>
      <c r="G67" s="13" t="str">
        <f>IF(Embalagens[preço] &lt;&gt; "", Embalagens[[#This Row],[preço]] / IF(Embalagens[[#This Row],[medida]] = "unidades", Embalagens[[#This Row],[quantidade]], 1), "")</f>
        <v/>
      </c>
      <c r="H67" s="13" t="str">
        <f>IFERROR(Embalagens[[#This Row],[preço]] / (Embalagens[quantidade] / IF(Embalagens[[#This Row],[medida]] = "Gramas", 1000, IF(Embalagens[[#This Row],[medida]] = "Quilos", 1, 0))), "")</f>
        <v/>
      </c>
      <c r="I67" s="45" t="str">
        <f>IFERROR(Embalagens[[#This Row],[preço]] / (Embalagens[quantidade] * IF(Embalagens[[#This Row],[medida]] = "Gramas", 1, IF(Embalagens[[#This Row],[medida]] = "Quilos", 1000, 0))), "")</f>
        <v/>
      </c>
      <c r="J67" s="45" t="str">
        <f>IFERROR(Embalagens[[#This Row],[preço]] / (Embalagens[quantidade] / IF(Embalagens[[#This Row],[medida]] = "ML", 1000, IF(Embalagens[[#This Row],[medida]] = "Litros", 1, 0))), "")</f>
        <v/>
      </c>
      <c r="K67" s="45" t="str">
        <f>IFERROR(Embalagens[[#This Row],[preço]] / (Embalagens[quantidade] * IF(Embalagens[[#This Row],[medida]] = "ML", 1, IF(Embalagens[[#This Row],[medida]] = "Litros", 1000, 0))), "")</f>
        <v/>
      </c>
    </row>
    <row r="68" spans="2:11">
      <c r="B68">
        <v>54</v>
      </c>
      <c r="D68" s="13"/>
      <c r="E68" s="46"/>
      <c r="G68" s="13" t="str">
        <f>IF(Embalagens[preço] &lt;&gt; "", Embalagens[[#This Row],[preço]] / IF(Embalagens[[#This Row],[medida]] = "unidades", Embalagens[[#This Row],[quantidade]], 1), "")</f>
        <v/>
      </c>
      <c r="H68" s="13" t="str">
        <f>IFERROR(Embalagens[[#This Row],[preço]] / (Embalagens[quantidade] / IF(Embalagens[[#This Row],[medida]] = "Gramas", 1000, IF(Embalagens[[#This Row],[medida]] = "Quilos", 1, 0))), "")</f>
        <v/>
      </c>
      <c r="I68" s="45" t="str">
        <f>IFERROR(Embalagens[[#This Row],[preço]] / (Embalagens[quantidade] * IF(Embalagens[[#This Row],[medida]] = "Gramas", 1, IF(Embalagens[[#This Row],[medida]] = "Quilos", 1000, 0))), "")</f>
        <v/>
      </c>
      <c r="J68" s="45" t="str">
        <f>IFERROR(Embalagens[[#This Row],[preço]] / (Embalagens[quantidade] / IF(Embalagens[[#This Row],[medida]] = "ML", 1000, IF(Embalagens[[#This Row],[medida]] = "Litros", 1, 0))), "")</f>
        <v/>
      </c>
      <c r="K68" s="45" t="str">
        <f>IFERROR(Embalagens[[#This Row],[preço]] / (Embalagens[quantidade] * IF(Embalagens[[#This Row],[medida]] = "ML", 1, IF(Embalagens[[#This Row],[medida]] = "Litros", 1000, 0))), "")</f>
        <v/>
      </c>
    </row>
    <row r="69" spans="2:11">
      <c r="B69">
        <v>55</v>
      </c>
      <c r="D69" s="13"/>
      <c r="E69" s="46"/>
      <c r="G69" s="13" t="str">
        <f>IF(Embalagens[preço] &lt;&gt; "", Embalagens[[#This Row],[preço]] / IF(Embalagens[[#This Row],[medida]] = "unidades", Embalagens[[#This Row],[quantidade]], 1), "")</f>
        <v/>
      </c>
      <c r="H69" s="13" t="str">
        <f>IFERROR(Embalagens[[#This Row],[preço]] / (Embalagens[quantidade] / IF(Embalagens[[#This Row],[medida]] = "Gramas", 1000, IF(Embalagens[[#This Row],[medida]] = "Quilos", 1, 0))), "")</f>
        <v/>
      </c>
      <c r="I69" s="45" t="str">
        <f>IFERROR(Embalagens[[#This Row],[preço]] / (Embalagens[quantidade] * IF(Embalagens[[#This Row],[medida]] = "Gramas", 1, IF(Embalagens[[#This Row],[medida]] = "Quilos", 1000, 0))), "")</f>
        <v/>
      </c>
      <c r="J69" s="45" t="str">
        <f>IFERROR(Embalagens[[#This Row],[preço]] / (Embalagens[quantidade] / IF(Embalagens[[#This Row],[medida]] = "ML", 1000, IF(Embalagens[[#This Row],[medida]] = "Litros", 1, 0))), "")</f>
        <v/>
      </c>
      <c r="K69" s="45" t="str">
        <f>IFERROR(Embalagens[[#This Row],[preço]] / (Embalagens[quantidade] * IF(Embalagens[[#This Row],[medida]] = "ML", 1, IF(Embalagens[[#This Row],[medida]] = "Litros", 1000, 0))), "")</f>
        <v/>
      </c>
    </row>
    <row r="70" spans="2:11">
      <c r="B70">
        <v>56</v>
      </c>
      <c r="D70" s="13"/>
      <c r="E70" s="46"/>
      <c r="G70" s="13" t="str">
        <f>IF(Embalagens[preço] &lt;&gt; "", Embalagens[[#This Row],[preço]] / IF(Embalagens[[#This Row],[medida]] = "unidades", Embalagens[[#This Row],[quantidade]], 1), "")</f>
        <v/>
      </c>
      <c r="H70" s="13" t="str">
        <f>IFERROR(Embalagens[[#This Row],[preço]] / (Embalagens[quantidade] / IF(Embalagens[[#This Row],[medida]] = "Gramas", 1000, IF(Embalagens[[#This Row],[medida]] = "Quilos", 1, 0))), "")</f>
        <v/>
      </c>
      <c r="I70" s="45" t="str">
        <f>IFERROR(Embalagens[[#This Row],[preço]] / (Embalagens[quantidade] * IF(Embalagens[[#This Row],[medida]] = "Gramas", 1, IF(Embalagens[[#This Row],[medida]] = "Quilos", 1000, 0))), "")</f>
        <v/>
      </c>
      <c r="J70" s="45" t="str">
        <f>IFERROR(Embalagens[[#This Row],[preço]] / (Embalagens[quantidade] / IF(Embalagens[[#This Row],[medida]] = "ML", 1000, IF(Embalagens[[#This Row],[medida]] = "Litros", 1, 0))), "")</f>
        <v/>
      </c>
      <c r="K70" s="45" t="str">
        <f>IFERROR(Embalagens[[#This Row],[preço]] / (Embalagens[quantidade] * IF(Embalagens[[#This Row],[medida]] = "ML", 1, IF(Embalagens[[#This Row],[medida]] = "Litros", 1000, 0))), "")</f>
        <v/>
      </c>
    </row>
    <row r="71" spans="2:11">
      <c r="B71">
        <v>57</v>
      </c>
      <c r="D71" s="13"/>
      <c r="E71" s="46"/>
      <c r="G71" s="13" t="str">
        <f>IF(Embalagens[preço] &lt;&gt; "", Embalagens[[#This Row],[preço]] / IF(Embalagens[[#This Row],[medida]] = "unidades", Embalagens[[#This Row],[quantidade]], 1), "")</f>
        <v/>
      </c>
      <c r="H71" s="13" t="str">
        <f>IFERROR(Embalagens[[#This Row],[preço]] / (Embalagens[quantidade] / IF(Embalagens[[#This Row],[medida]] = "Gramas", 1000, IF(Embalagens[[#This Row],[medida]] = "Quilos", 1, 0))), "")</f>
        <v/>
      </c>
      <c r="I71" s="45" t="str">
        <f>IFERROR(Embalagens[[#This Row],[preço]] / (Embalagens[quantidade] * IF(Embalagens[[#This Row],[medida]] = "Gramas", 1, IF(Embalagens[[#This Row],[medida]] = "Quilos", 1000, 0))), "")</f>
        <v/>
      </c>
      <c r="J71" s="45" t="str">
        <f>IFERROR(Embalagens[[#This Row],[preço]] / (Embalagens[quantidade] / IF(Embalagens[[#This Row],[medida]] = "ML", 1000, IF(Embalagens[[#This Row],[medida]] = "Litros", 1, 0))), "")</f>
        <v/>
      </c>
      <c r="K71" s="45" t="str">
        <f>IFERROR(Embalagens[[#This Row],[preço]] / (Embalagens[quantidade] * IF(Embalagens[[#This Row],[medida]] = "ML", 1, IF(Embalagens[[#This Row],[medida]] = "Litros", 1000, 0))), "")</f>
        <v/>
      </c>
    </row>
    <row r="72" spans="2:11">
      <c r="B72">
        <v>58</v>
      </c>
      <c r="D72" s="13"/>
      <c r="E72" s="46"/>
      <c r="G72" s="13" t="str">
        <f>IF(Embalagens[preço] &lt;&gt; "", Embalagens[[#This Row],[preço]] / IF(Embalagens[[#This Row],[medida]] = "unidades", Embalagens[[#This Row],[quantidade]], 1), "")</f>
        <v/>
      </c>
      <c r="H72" s="13" t="str">
        <f>IFERROR(Embalagens[[#This Row],[preço]] / (Embalagens[quantidade] / IF(Embalagens[[#This Row],[medida]] = "Gramas", 1000, IF(Embalagens[[#This Row],[medida]] = "Quilos", 1, 0))), "")</f>
        <v/>
      </c>
      <c r="I72" s="45" t="str">
        <f>IFERROR(Embalagens[[#This Row],[preço]] / (Embalagens[quantidade] * IF(Embalagens[[#This Row],[medida]] = "Gramas", 1, IF(Embalagens[[#This Row],[medida]] = "Quilos", 1000, 0))), "")</f>
        <v/>
      </c>
      <c r="J72" s="45" t="str">
        <f>IFERROR(Embalagens[[#This Row],[preço]] / (Embalagens[quantidade] / IF(Embalagens[[#This Row],[medida]] = "ML", 1000, IF(Embalagens[[#This Row],[medida]] = "Litros", 1, 0))), "")</f>
        <v/>
      </c>
      <c r="K72" s="45" t="str">
        <f>IFERROR(Embalagens[[#This Row],[preço]] / (Embalagens[quantidade] * IF(Embalagens[[#This Row],[medida]] = "ML", 1, IF(Embalagens[[#This Row],[medida]] = "Litros", 1000, 0))), "")</f>
        <v/>
      </c>
    </row>
    <row r="73" spans="2:11">
      <c r="B73">
        <v>59</v>
      </c>
      <c r="D73" s="13"/>
      <c r="E73" s="46"/>
      <c r="G73" s="13" t="str">
        <f>IF(Embalagens[preço] &lt;&gt; "", Embalagens[[#This Row],[preço]] / IF(Embalagens[[#This Row],[medida]] = "unidades", Embalagens[[#This Row],[quantidade]], 1), "")</f>
        <v/>
      </c>
      <c r="H73" s="13" t="str">
        <f>IFERROR(Embalagens[[#This Row],[preço]] / (Embalagens[quantidade] / IF(Embalagens[[#This Row],[medida]] = "Gramas", 1000, IF(Embalagens[[#This Row],[medida]] = "Quilos", 1, 0))), "")</f>
        <v/>
      </c>
      <c r="I73" s="45" t="str">
        <f>IFERROR(Embalagens[[#This Row],[preço]] / (Embalagens[quantidade] * IF(Embalagens[[#This Row],[medida]] = "Gramas", 1, IF(Embalagens[[#This Row],[medida]] = "Quilos", 1000, 0))), "")</f>
        <v/>
      </c>
      <c r="J73" s="45" t="str">
        <f>IFERROR(Embalagens[[#This Row],[preço]] / (Embalagens[quantidade] / IF(Embalagens[[#This Row],[medida]] = "ML", 1000, IF(Embalagens[[#This Row],[medida]] = "Litros", 1, 0))), "")</f>
        <v/>
      </c>
      <c r="K73" s="45" t="str">
        <f>IFERROR(Embalagens[[#This Row],[preço]] / (Embalagens[quantidade] * IF(Embalagens[[#This Row],[medida]] = "ML", 1, IF(Embalagens[[#This Row],[medida]] = "Litros", 1000, 0))), "")</f>
        <v/>
      </c>
    </row>
    <row r="74" spans="2:11">
      <c r="B74">
        <v>60</v>
      </c>
      <c r="D74" s="13"/>
      <c r="E74" s="46"/>
      <c r="G74" s="13" t="str">
        <f>IF(Embalagens[preço] &lt;&gt; "", Embalagens[[#This Row],[preço]] / IF(Embalagens[[#This Row],[medida]] = "unidades", Embalagens[[#This Row],[quantidade]], 1), "")</f>
        <v/>
      </c>
      <c r="H74" s="13" t="str">
        <f>IFERROR(Embalagens[[#This Row],[preço]] / (Embalagens[quantidade] / IF(Embalagens[[#This Row],[medida]] = "Gramas", 1000, IF(Embalagens[[#This Row],[medida]] = "Quilos", 1, 0))), "")</f>
        <v/>
      </c>
      <c r="I74" s="45" t="str">
        <f>IFERROR(Embalagens[[#This Row],[preço]] / (Embalagens[quantidade] * IF(Embalagens[[#This Row],[medida]] = "Gramas", 1, IF(Embalagens[[#This Row],[medida]] = "Quilos", 1000, 0))), "")</f>
        <v/>
      </c>
      <c r="J74" s="45" t="str">
        <f>IFERROR(Embalagens[[#This Row],[preço]] / (Embalagens[quantidade] / IF(Embalagens[[#This Row],[medida]] = "ML", 1000, IF(Embalagens[[#This Row],[medida]] = "Litros", 1, 0))), "")</f>
        <v/>
      </c>
      <c r="K74" s="45" t="str">
        <f>IFERROR(Embalagens[[#This Row],[preço]] / (Embalagens[quantidade] * IF(Embalagens[[#This Row],[medida]] = "ML", 1, IF(Embalagens[[#This Row],[medida]] = "Litros", 1000, 0))), "")</f>
        <v/>
      </c>
    </row>
    <row r="75" spans="2:11">
      <c r="B75">
        <v>61</v>
      </c>
      <c r="D75" s="13"/>
      <c r="E75" s="46"/>
      <c r="G75" s="13" t="str">
        <f>IF(Embalagens[preço] &lt;&gt; "", Embalagens[[#This Row],[preço]] / IF(Embalagens[[#This Row],[medida]] = "unidades", Embalagens[[#This Row],[quantidade]], 1), "")</f>
        <v/>
      </c>
      <c r="H75" s="13" t="str">
        <f>IFERROR(Embalagens[[#This Row],[preço]] / (Embalagens[quantidade] / IF(Embalagens[[#This Row],[medida]] = "Gramas", 1000, IF(Embalagens[[#This Row],[medida]] = "Quilos", 1, 0))), "")</f>
        <v/>
      </c>
      <c r="I75" s="45" t="str">
        <f>IFERROR(Embalagens[[#This Row],[preço]] / (Embalagens[quantidade] * IF(Embalagens[[#This Row],[medida]] = "Gramas", 1, IF(Embalagens[[#This Row],[medida]] = "Quilos", 1000, 0))), "")</f>
        <v/>
      </c>
      <c r="J75" s="45" t="str">
        <f>IFERROR(Embalagens[[#This Row],[preço]] / (Embalagens[quantidade] / IF(Embalagens[[#This Row],[medida]] = "ML", 1000, IF(Embalagens[[#This Row],[medida]] = "Litros", 1, 0))), "")</f>
        <v/>
      </c>
      <c r="K75" s="45" t="str">
        <f>IFERROR(Embalagens[[#This Row],[preço]] / (Embalagens[quantidade] * IF(Embalagens[[#This Row],[medida]] = "ML", 1, IF(Embalagens[[#This Row],[medida]] = "Litros", 1000, 0))), "")</f>
        <v/>
      </c>
    </row>
    <row r="76" spans="2:11">
      <c r="B76">
        <v>62</v>
      </c>
      <c r="D76" s="13"/>
      <c r="E76" s="46"/>
      <c r="G76" s="13" t="str">
        <f>IF(Embalagens[preço] &lt;&gt; "", Embalagens[[#This Row],[preço]] / IF(Embalagens[[#This Row],[medida]] = "unidades", Embalagens[[#This Row],[quantidade]], 1), "")</f>
        <v/>
      </c>
      <c r="H76" s="13" t="str">
        <f>IFERROR(Embalagens[[#This Row],[preço]] / (Embalagens[quantidade] / IF(Embalagens[[#This Row],[medida]] = "Gramas", 1000, IF(Embalagens[[#This Row],[medida]] = "Quilos", 1, 0))), "")</f>
        <v/>
      </c>
      <c r="I76" s="45" t="str">
        <f>IFERROR(Embalagens[[#This Row],[preço]] / (Embalagens[quantidade] * IF(Embalagens[[#This Row],[medida]] = "Gramas", 1, IF(Embalagens[[#This Row],[medida]] = "Quilos", 1000, 0))), "")</f>
        <v/>
      </c>
      <c r="J76" s="45" t="str">
        <f>IFERROR(Embalagens[[#This Row],[preço]] / (Embalagens[quantidade] / IF(Embalagens[[#This Row],[medida]] = "ML", 1000, IF(Embalagens[[#This Row],[medida]] = "Litros", 1, 0))), "")</f>
        <v/>
      </c>
      <c r="K76" s="45" t="str">
        <f>IFERROR(Embalagens[[#This Row],[preço]] / (Embalagens[quantidade] * IF(Embalagens[[#This Row],[medida]] = "ML", 1, IF(Embalagens[[#This Row],[medida]] = "Litros", 1000, 0))), "")</f>
        <v/>
      </c>
    </row>
    <row r="77" spans="2:11">
      <c r="B77">
        <v>63</v>
      </c>
      <c r="D77" s="13"/>
      <c r="E77" s="46"/>
      <c r="G77" s="13" t="str">
        <f>IF(Embalagens[preço] &lt;&gt; "", Embalagens[[#This Row],[preço]] / IF(Embalagens[[#This Row],[medida]] = "unidades", Embalagens[[#This Row],[quantidade]], 1), "")</f>
        <v/>
      </c>
      <c r="H77" s="13" t="str">
        <f>IFERROR(Embalagens[[#This Row],[preço]] / (Embalagens[quantidade] / IF(Embalagens[[#This Row],[medida]] = "Gramas", 1000, IF(Embalagens[[#This Row],[medida]] = "Quilos", 1, 0))), "")</f>
        <v/>
      </c>
      <c r="I77" s="45" t="str">
        <f>IFERROR(Embalagens[[#This Row],[preço]] / (Embalagens[quantidade] * IF(Embalagens[[#This Row],[medida]] = "Gramas", 1, IF(Embalagens[[#This Row],[medida]] = "Quilos", 1000, 0))), "")</f>
        <v/>
      </c>
      <c r="J77" s="45" t="str">
        <f>IFERROR(Embalagens[[#This Row],[preço]] / (Embalagens[quantidade] / IF(Embalagens[[#This Row],[medida]] = "ML", 1000, IF(Embalagens[[#This Row],[medida]] = "Litros", 1, 0))), "")</f>
        <v/>
      </c>
      <c r="K77" s="45" t="str">
        <f>IFERROR(Embalagens[[#This Row],[preço]] / (Embalagens[quantidade] * IF(Embalagens[[#This Row],[medida]] = "ML", 1, IF(Embalagens[[#This Row],[medida]] = "Litros", 1000, 0))), "")</f>
        <v/>
      </c>
    </row>
    <row r="78" spans="2:11">
      <c r="B78">
        <v>64</v>
      </c>
      <c r="D78" s="13"/>
      <c r="E78" s="46"/>
      <c r="G78" s="13" t="str">
        <f>IF(Embalagens[preço] &lt;&gt; "", Embalagens[[#This Row],[preço]] / IF(Embalagens[[#This Row],[medida]] = "unidades", Embalagens[[#This Row],[quantidade]], 1), "")</f>
        <v/>
      </c>
      <c r="H78" s="13" t="str">
        <f>IFERROR(Embalagens[[#This Row],[preço]] / (Embalagens[quantidade] / IF(Embalagens[[#This Row],[medida]] = "Gramas", 1000, IF(Embalagens[[#This Row],[medida]] = "Quilos", 1, 0))), "")</f>
        <v/>
      </c>
      <c r="I78" s="45" t="str">
        <f>IFERROR(Embalagens[[#This Row],[preço]] / (Embalagens[quantidade] * IF(Embalagens[[#This Row],[medida]] = "Gramas", 1, IF(Embalagens[[#This Row],[medida]] = "Quilos", 1000, 0))), "")</f>
        <v/>
      </c>
      <c r="J78" s="45" t="str">
        <f>IFERROR(Embalagens[[#This Row],[preço]] / (Embalagens[quantidade] / IF(Embalagens[[#This Row],[medida]] = "ML", 1000, IF(Embalagens[[#This Row],[medida]] = "Litros", 1, 0))), "")</f>
        <v/>
      </c>
      <c r="K78" s="45" t="str">
        <f>IFERROR(Embalagens[[#This Row],[preço]] / (Embalagens[quantidade] * IF(Embalagens[[#This Row],[medida]] = "ML", 1, IF(Embalagens[[#This Row],[medida]] = "Litros", 1000, 0))), "")</f>
        <v/>
      </c>
    </row>
    <row r="79" spans="2:11">
      <c r="B79">
        <v>65</v>
      </c>
      <c r="D79" s="13"/>
      <c r="E79" s="46"/>
      <c r="G79" s="13" t="str">
        <f>IF(Embalagens[preço] &lt;&gt; "", Embalagens[[#This Row],[preço]] / IF(Embalagens[[#This Row],[medida]] = "unidades", Embalagens[[#This Row],[quantidade]], 1), "")</f>
        <v/>
      </c>
      <c r="H79" s="13" t="str">
        <f>IFERROR(Embalagens[[#This Row],[preço]] / (Embalagens[quantidade] / IF(Embalagens[[#This Row],[medida]] = "Gramas", 1000, IF(Embalagens[[#This Row],[medida]] = "Quilos", 1, 0))), "")</f>
        <v/>
      </c>
      <c r="I79" s="45" t="str">
        <f>IFERROR(Embalagens[[#This Row],[preço]] / (Embalagens[quantidade] * IF(Embalagens[[#This Row],[medida]] = "Gramas", 1, IF(Embalagens[[#This Row],[medida]] = "Quilos", 1000, 0))), "")</f>
        <v/>
      </c>
      <c r="J79" s="45" t="str">
        <f>IFERROR(Embalagens[[#This Row],[preço]] / (Embalagens[quantidade] / IF(Embalagens[[#This Row],[medida]] = "ML", 1000, IF(Embalagens[[#This Row],[medida]] = "Litros", 1, 0))), "")</f>
        <v/>
      </c>
      <c r="K79" s="45" t="str">
        <f>IFERROR(Embalagens[[#This Row],[preço]] / (Embalagens[quantidade] * IF(Embalagens[[#This Row],[medida]] = "ML", 1, IF(Embalagens[[#This Row],[medida]] = "Litros", 1000, 0))), "")</f>
        <v/>
      </c>
    </row>
    <row r="80" spans="2:11">
      <c r="B80">
        <v>66</v>
      </c>
      <c r="D80" s="13"/>
      <c r="E80" s="46"/>
      <c r="G80" s="13" t="str">
        <f>IF(Embalagens[preço] &lt;&gt; "", Embalagens[[#This Row],[preço]] / IF(Embalagens[[#This Row],[medida]] = "unidades", Embalagens[[#This Row],[quantidade]], 1), "")</f>
        <v/>
      </c>
      <c r="H80" s="13" t="str">
        <f>IFERROR(Embalagens[[#This Row],[preço]] / (Embalagens[quantidade] / IF(Embalagens[[#This Row],[medida]] = "Gramas", 1000, IF(Embalagens[[#This Row],[medida]] = "Quilos", 1, 0))), "")</f>
        <v/>
      </c>
      <c r="I80" s="45" t="str">
        <f>IFERROR(Embalagens[[#This Row],[preço]] / (Embalagens[quantidade] * IF(Embalagens[[#This Row],[medida]] = "Gramas", 1, IF(Embalagens[[#This Row],[medida]] = "Quilos", 1000, 0))), "")</f>
        <v/>
      </c>
      <c r="J80" s="45" t="str">
        <f>IFERROR(Embalagens[[#This Row],[preço]] / (Embalagens[quantidade] / IF(Embalagens[[#This Row],[medida]] = "ML", 1000, IF(Embalagens[[#This Row],[medida]] = "Litros", 1, 0))), "")</f>
        <v/>
      </c>
      <c r="K80" s="45" t="str">
        <f>IFERROR(Embalagens[[#This Row],[preço]] / (Embalagens[quantidade] * IF(Embalagens[[#This Row],[medida]] = "ML", 1, IF(Embalagens[[#This Row],[medida]] = "Litros", 1000, 0))), "")</f>
        <v/>
      </c>
    </row>
    <row r="81" spans="2:11">
      <c r="B81">
        <v>67</v>
      </c>
      <c r="D81" s="13"/>
      <c r="E81" s="46"/>
      <c r="G81" s="13" t="str">
        <f>IF(Embalagens[preço] &lt;&gt; "", Embalagens[[#This Row],[preço]] / IF(Embalagens[[#This Row],[medida]] = "unidades", Embalagens[[#This Row],[quantidade]], 1), "")</f>
        <v/>
      </c>
      <c r="H81" s="13" t="str">
        <f>IFERROR(Embalagens[[#This Row],[preço]] / (Embalagens[quantidade] / IF(Embalagens[[#This Row],[medida]] = "Gramas", 1000, IF(Embalagens[[#This Row],[medida]] = "Quilos", 1, 0))), "")</f>
        <v/>
      </c>
      <c r="I81" s="45" t="str">
        <f>IFERROR(Embalagens[[#This Row],[preço]] / (Embalagens[quantidade] * IF(Embalagens[[#This Row],[medida]] = "Gramas", 1, IF(Embalagens[[#This Row],[medida]] = "Quilos", 1000, 0))), "")</f>
        <v/>
      </c>
      <c r="J81" s="45" t="str">
        <f>IFERROR(Embalagens[[#This Row],[preço]] / (Embalagens[quantidade] / IF(Embalagens[[#This Row],[medida]] = "ML", 1000, IF(Embalagens[[#This Row],[medida]] = "Litros", 1, 0))), "")</f>
        <v/>
      </c>
      <c r="K81" s="45" t="str">
        <f>IFERROR(Embalagens[[#This Row],[preço]] / (Embalagens[quantidade] * IF(Embalagens[[#This Row],[medida]] = "ML", 1, IF(Embalagens[[#This Row],[medida]] = "Litros", 1000, 0))), "")</f>
        <v/>
      </c>
    </row>
    <row r="82" spans="2:11">
      <c r="B82">
        <v>68</v>
      </c>
      <c r="D82" s="13"/>
      <c r="E82" s="46"/>
      <c r="G82" s="13" t="str">
        <f>IF(Embalagens[preço] &lt;&gt; "", Embalagens[[#This Row],[preço]] / IF(Embalagens[[#This Row],[medida]] = "unidades", Embalagens[[#This Row],[quantidade]], 1), "")</f>
        <v/>
      </c>
      <c r="H82" s="13" t="str">
        <f>IFERROR(Embalagens[[#This Row],[preço]] / (Embalagens[quantidade] / IF(Embalagens[[#This Row],[medida]] = "Gramas", 1000, IF(Embalagens[[#This Row],[medida]] = "Quilos", 1, 0))), "")</f>
        <v/>
      </c>
      <c r="I82" s="45" t="str">
        <f>IFERROR(Embalagens[[#This Row],[preço]] / (Embalagens[quantidade] * IF(Embalagens[[#This Row],[medida]] = "Gramas", 1, IF(Embalagens[[#This Row],[medida]] = "Quilos", 1000, 0))), "")</f>
        <v/>
      </c>
      <c r="J82" s="45" t="str">
        <f>IFERROR(Embalagens[[#This Row],[preço]] / (Embalagens[quantidade] / IF(Embalagens[[#This Row],[medida]] = "ML", 1000, IF(Embalagens[[#This Row],[medida]] = "Litros", 1, 0))), "")</f>
        <v/>
      </c>
      <c r="K82" s="45" t="str">
        <f>IFERROR(Embalagens[[#This Row],[preço]] / (Embalagens[quantidade] * IF(Embalagens[[#This Row],[medida]] = "ML", 1, IF(Embalagens[[#This Row],[medida]] = "Litros", 1000, 0))), "")</f>
        <v/>
      </c>
    </row>
    <row r="83" spans="2:11">
      <c r="B83">
        <v>69</v>
      </c>
      <c r="D83" s="13"/>
      <c r="E83" s="46"/>
      <c r="G83" s="13" t="str">
        <f>IF(Embalagens[preço] &lt;&gt; "", Embalagens[[#This Row],[preço]] / IF(Embalagens[[#This Row],[medida]] = "unidades", Embalagens[[#This Row],[quantidade]], 1), "")</f>
        <v/>
      </c>
      <c r="H83" s="13" t="str">
        <f>IFERROR(Embalagens[[#This Row],[preço]] / (Embalagens[quantidade] / IF(Embalagens[[#This Row],[medida]] = "Gramas", 1000, IF(Embalagens[[#This Row],[medida]] = "Quilos", 1, 0))), "")</f>
        <v/>
      </c>
      <c r="I83" s="45" t="str">
        <f>IFERROR(Embalagens[[#This Row],[preço]] / (Embalagens[quantidade] * IF(Embalagens[[#This Row],[medida]] = "Gramas", 1, IF(Embalagens[[#This Row],[medida]] = "Quilos", 1000, 0))), "")</f>
        <v/>
      </c>
      <c r="J83" s="45" t="str">
        <f>IFERROR(Embalagens[[#This Row],[preço]] / (Embalagens[quantidade] / IF(Embalagens[[#This Row],[medida]] = "ML", 1000, IF(Embalagens[[#This Row],[medida]] = "Litros", 1, 0))), "")</f>
        <v/>
      </c>
      <c r="K83" s="45" t="str">
        <f>IFERROR(Embalagens[[#This Row],[preço]] / (Embalagens[quantidade] * IF(Embalagens[[#This Row],[medida]] = "ML", 1, IF(Embalagens[[#This Row],[medida]] = "Litros", 1000, 0))), "")</f>
        <v/>
      </c>
    </row>
    <row r="84" spans="2:11">
      <c r="B84">
        <v>70</v>
      </c>
      <c r="D84" s="13"/>
      <c r="E84" s="46"/>
      <c r="G84" s="13" t="str">
        <f>IF(Embalagens[preço] &lt;&gt; "", Embalagens[[#This Row],[preço]] / IF(Embalagens[[#This Row],[medida]] = "unidades", Embalagens[[#This Row],[quantidade]], 1), "")</f>
        <v/>
      </c>
      <c r="H84" s="13" t="str">
        <f>IFERROR(Embalagens[[#This Row],[preço]] / (Embalagens[quantidade] / IF(Embalagens[[#This Row],[medida]] = "Gramas", 1000, IF(Embalagens[[#This Row],[medida]] = "Quilos", 1, 0))), "")</f>
        <v/>
      </c>
      <c r="I84" s="45" t="str">
        <f>IFERROR(Embalagens[[#This Row],[preço]] / (Embalagens[quantidade] * IF(Embalagens[[#This Row],[medida]] = "Gramas", 1, IF(Embalagens[[#This Row],[medida]] = "Quilos", 1000, 0))), "")</f>
        <v/>
      </c>
      <c r="J84" s="45" t="str">
        <f>IFERROR(Embalagens[[#This Row],[preço]] / (Embalagens[quantidade] / IF(Embalagens[[#This Row],[medida]] = "ML", 1000, IF(Embalagens[[#This Row],[medida]] = "Litros", 1, 0))), "")</f>
        <v/>
      </c>
      <c r="K84" s="45" t="str">
        <f>IFERROR(Embalagens[[#This Row],[preço]] / (Embalagens[quantidade] * IF(Embalagens[[#This Row],[medida]] = "ML", 1, IF(Embalagens[[#This Row],[medida]] = "Litros", 1000, 0))), "")</f>
        <v/>
      </c>
    </row>
    <row r="85" spans="2:11">
      <c r="B85">
        <v>71</v>
      </c>
      <c r="D85" s="13"/>
      <c r="E85" s="46"/>
      <c r="G85" s="13" t="str">
        <f>IF(Embalagens[preço] &lt;&gt; "", Embalagens[[#This Row],[preço]] / IF(Embalagens[[#This Row],[medida]] = "unidades", Embalagens[[#This Row],[quantidade]], 1), "")</f>
        <v/>
      </c>
      <c r="H85" s="13" t="str">
        <f>IFERROR(Embalagens[[#This Row],[preço]] / (Embalagens[quantidade] / IF(Embalagens[[#This Row],[medida]] = "Gramas", 1000, IF(Embalagens[[#This Row],[medida]] = "Quilos", 1, 0))), "")</f>
        <v/>
      </c>
      <c r="I85" s="45" t="str">
        <f>IFERROR(Embalagens[[#This Row],[preço]] / (Embalagens[quantidade] * IF(Embalagens[[#This Row],[medida]] = "Gramas", 1, IF(Embalagens[[#This Row],[medida]] = "Quilos", 1000, 0))), "")</f>
        <v/>
      </c>
      <c r="J85" s="45" t="str">
        <f>IFERROR(Embalagens[[#This Row],[preço]] / (Embalagens[quantidade] / IF(Embalagens[[#This Row],[medida]] = "ML", 1000, IF(Embalagens[[#This Row],[medida]] = "Litros", 1, 0))), "")</f>
        <v/>
      </c>
      <c r="K85" s="45" t="str">
        <f>IFERROR(Embalagens[[#This Row],[preço]] / (Embalagens[quantidade] * IF(Embalagens[[#This Row],[medida]] = "ML", 1, IF(Embalagens[[#This Row],[medida]] = "Litros", 1000, 0))), "")</f>
        <v/>
      </c>
    </row>
    <row r="86" spans="2:11">
      <c r="B86">
        <v>72</v>
      </c>
      <c r="D86" s="13"/>
      <c r="E86" s="46"/>
      <c r="G86" s="13" t="str">
        <f>IF(Embalagens[preço] &lt;&gt; "", Embalagens[[#This Row],[preço]] / IF(Embalagens[[#This Row],[medida]] = "unidades", Embalagens[[#This Row],[quantidade]], 1), "")</f>
        <v/>
      </c>
      <c r="H86" s="13" t="str">
        <f>IFERROR(Embalagens[[#This Row],[preço]] / (Embalagens[quantidade] / IF(Embalagens[[#This Row],[medida]] = "Gramas", 1000, IF(Embalagens[[#This Row],[medida]] = "Quilos", 1, 0))), "")</f>
        <v/>
      </c>
      <c r="I86" s="45" t="str">
        <f>IFERROR(Embalagens[[#This Row],[preço]] / (Embalagens[quantidade] * IF(Embalagens[[#This Row],[medida]] = "Gramas", 1, IF(Embalagens[[#This Row],[medida]] = "Quilos", 1000, 0))), "")</f>
        <v/>
      </c>
      <c r="J86" s="45" t="str">
        <f>IFERROR(Embalagens[[#This Row],[preço]] / (Embalagens[quantidade] / IF(Embalagens[[#This Row],[medida]] = "ML", 1000, IF(Embalagens[[#This Row],[medida]] = "Litros", 1, 0))), "")</f>
        <v/>
      </c>
      <c r="K86" s="45" t="str">
        <f>IFERROR(Embalagens[[#This Row],[preço]] / (Embalagens[quantidade] * IF(Embalagens[[#This Row],[medida]] = "ML", 1, IF(Embalagens[[#This Row],[medida]] = "Litros", 1000, 0))), "")</f>
        <v/>
      </c>
    </row>
    <row r="87" spans="2:11">
      <c r="B87">
        <v>73</v>
      </c>
      <c r="D87" s="13"/>
      <c r="E87" s="46"/>
      <c r="G87" s="13" t="str">
        <f>IF(Embalagens[preço] &lt;&gt; "", Embalagens[[#This Row],[preço]] / IF(Embalagens[[#This Row],[medida]] = "unidades", Embalagens[[#This Row],[quantidade]], 1), "")</f>
        <v/>
      </c>
      <c r="H87" s="13" t="str">
        <f>IFERROR(Embalagens[[#This Row],[preço]] / (Embalagens[quantidade] / IF(Embalagens[[#This Row],[medida]] = "Gramas", 1000, IF(Embalagens[[#This Row],[medida]] = "Quilos", 1, 0))), "")</f>
        <v/>
      </c>
      <c r="I87" s="45" t="str">
        <f>IFERROR(Embalagens[[#This Row],[preço]] / (Embalagens[quantidade] * IF(Embalagens[[#This Row],[medida]] = "Gramas", 1, IF(Embalagens[[#This Row],[medida]] = "Quilos", 1000, 0))), "")</f>
        <v/>
      </c>
      <c r="J87" s="45" t="str">
        <f>IFERROR(Embalagens[[#This Row],[preço]] / (Embalagens[quantidade] / IF(Embalagens[[#This Row],[medida]] = "ML", 1000, IF(Embalagens[[#This Row],[medida]] = "Litros", 1, 0))), "")</f>
        <v/>
      </c>
      <c r="K87" s="45" t="str">
        <f>IFERROR(Embalagens[[#This Row],[preço]] / (Embalagens[quantidade] * IF(Embalagens[[#This Row],[medida]] = "ML", 1, IF(Embalagens[[#This Row],[medida]] = "Litros", 1000, 0))), "")</f>
        <v/>
      </c>
    </row>
    <row r="88" spans="2:11">
      <c r="B88">
        <v>74</v>
      </c>
      <c r="D88" s="13"/>
      <c r="E88" s="46"/>
      <c r="G88" s="13" t="str">
        <f>IF(Embalagens[preço] &lt;&gt; "", Embalagens[[#This Row],[preço]] / IF(Embalagens[[#This Row],[medida]] = "unidades", Embalagens[[#This Row],[quantidade]], 1), "")</f>
        <v/>
      </c>
      <c r="H88" s="13" t="str">
        <f>IFERROR(Embalagens[[#This Row],[preço]] / (Embalagens[quantidade] / IF(Embalagens[[#This Row],[medida]] = "Gramas", 1000, IF(Embalagens[[#This Row],[medida]] = "Quilos", 1, 0))), "")</f>
        <v/>
      </c>
      <c r="I88" s="45" t="str">
        <f>IFERROR(Embalagens[[#This Row],[preço]] / (Embalagens[quantidade] * IF(Embalagens[[#This Row],[medida]] = "Gramas", 1, IF(Embalagens[[#This Row],[medida]] = "Quilos", 1000, 0))), "")</f>
        <v/>
      </c>
      <c r="J88" s="45" t="str">
        <f>IFERROR(Embalagens[[#This Row],[preço]] / (Embalagens[quantidade] / IF(Embalagens[[#This Row],[medida]] = "ML", 1000, IF(Embalagens[[#This Row],[medida]] = "Litros", 1, 0))), "")</f>
        <v/>
      </c>
      <c r="K88" s="45" t="str">
        <f>IFERROR(Embalagens[[#This Row],[preço]] / (Embalagens[quantidade] * IF(Embalagens[[#This Row],[medida]] = "ML", 1, IF(Embalagens[[#This Row],[medida]] = "Litros", 1000, 0))), "")</f>
        <v/>
      </c>
    </row>
    <row r="89" spans="2:11">
      <c r="B89">
        <v>75</v>
      </c>
      <c r="D89" s="13"/>
      <c r="E89" s="46"/>
      <c r="G89" s="13" t="str">
        <f>IF(Embalagens[preço] &lt;&gt; "", Embalagens[[#This Row],[preço]] / IF(Embalagens[[#This Row],[medida]] = "unidades", Embalagens[[#This Row],[quantidade]], 1), "")</f>
        <v/>
      </c>
      <c r="H89" s="13" t="str">
        <f>IFERROR(Embalagens[[#This Row],[preço]] / (Embalagens[quantidade] / IF(Embalagens[[#This Row],[medida]] = "Gramas", 1000, IF(Embalagens[[#This Row],[medida]] = "Quilos", 1, 0))), "")</f>
        <v/>
      </c>
      <c r="I89" s="45" t="str">
        <f>IFERROR(Embalagens[[#This Row],[preço]] / (Embalagens[quantidade] * IF(Embalagens[[#This Row],[medida]] = "Gramas", 1, IF(Embalagens[[#This Row],[medida]] = "Quilos", 1000, 0))), "")</f>
        <v/>
      </c>
      <c r="J89" s="45" t="str">
        <f>IFERROR(Embalagens[[#This Row],[preço]] / (Embalagens[quantidade] / IF(Embalagens[[#This Row],[medida]] = "ML", 1000, IF(Embalagens[[#This Row],[medida]] = "Litros", 1, 0))), "")</f>
        <v/>
      </c>
      <c r="K89" s="45" t="str">
        <f>IFERROR(Embalagens[[#This Row],[preço]] / (Embalagens[quantidade] * IF(Embalagens[[#This Row],[medida]] = "ML", 1, IF(Embalagens[[#This Row],[medida]] = "Litros", 1000, 0))), "")</f>
        <v/>
      </c>
    </row>
    <row r="90" spans="2:11">
      <c r="B90">
        <v>76</v>
      </c>
      <c r="D90" s="13"/>
      <c r="E90" s="46"/>
      <c r="G90" s="13" t="str">
        <f>IF(Embalagens[preço] &lt;&gt; "", Embalagens[[#This Row],[preço]] / IF(Embalagens[[#This Row],[medida]] = "unidades", Embalagens[[#This Row],[quantidade]], 1), "")</f>
        <v/>
      </c>
      <c r="H90" s="13" t="str">
        <f>IFERROR(Embalagens[[#This Row],[preço]] / (Embalagens[quantidade] / IF(Embalagens[[#This Row],[medida]] = "Gramas", 1000, IF(Embalagens[[#This Row],[medida]] = "Quilos", 1, 0))), "")</f>
        <v/>
      </c>
      <c r="I90" s="45" t="str">
        <f>IFERROR(Embalagens[[#This Row],[preço]] / (Embalagens[quantidade] * IF(Embalagens[[#This Row],[medida]] = "Gramas", 1, IF(Embalagens[[#This Row],[medida]] = "Quilos", 1000, 0))), "")</f>
        <v/>
      </c>
      <c r="J90" s="45" t="str">
        <f>IFERROR(Embalagens[[#This Row],[preço]] / (Embalagens[quantidade] / IF(Embalagens[[#This Row],[medida]] = "ML", 1000, IF(Embalagens[[#This Row],[medida]] = "Litros", 1, 0))), "")</f>
        <v/>
      </c>
      <c r="K90" s="45" t="str">
        <f>IFERROR(Embalagens[[#This Row],[preço]] / (Embalagens[quantidade] * IF(Embalagens[[#This Row],[medida]] = "ML", 1, IF(Embalagens[[#This Row],[medida]] = "Litros", 1000, 0))), "")</f>
        <v/>
      </c>
    </row>
    <row r="91" spans="2:11">
      <c r="B91">
        <v>77</v>
      </c>
      <c r="D91" s="13"/>
      <c r="E91" s="46"/>
      <c r="G91" s="13" t="str">
        <f>IF(Embalagens[preço] &lt;&gt; "", Embalagens[[#This Row],[preço]] / IF(Embalagens[[#This Row],[medida]] = "unidades", Embalagens[[#This Row],[quantidade]], 1), "")</f>
        <v/>
      </c>
      <c r="H91" s="13" t="str">
        <f>IFERROR(Embalagens[[#This Row],[preço]] / (Embalagens[quantidade] / IF(Embalagens[[#This Row],[medida]] = "Gramas", 1000, IF(Embalagens[[#This Row],[medida]] = "Quilos", 1, 0))), "")</f>
        <v/>
      </c>
      <c r="I91" s="45" t="str">
        <f>IFERROR(Embalagens[[#This Row],[preço]] / (Embalagens[quantidade] * IF(Embalagens[[#This Row],[medida]] = "Gramas", 1, IF(Embalagens[[#This Row],[medida]] = "Quilos", 1000, 0))), "")</f>
        <v/>
      </c>
      <c r="J91" s="45" t="str">
        <f>IFERROR(Embalagens[[#This Row],[preço]] / (Embalagens[quantidade] / IF(Embalagens[[#This Row],[medida]] = "ML", 1000, IF(Embalagens[[#This Row],[medida]] = "Litros", 1, 0))), "")</f>
        <v/>
      </c>
      <c r="K91" s="45" t="str">
        <f>IFERROR(Embalagens[[#This Row],[preço]] / (Embalagens[quantidade] * IF(Embalagens[[#This Row],[medida]] = "ML", 1, IF(Embalagens[[#This Row],[medida]] = "Litros", 1000, 0))), "")</f>
        <v/>
      </c>
    </row>
    <row r="92" spans="2:11">
      <c r="B92">
        <v>78</v>
      </c>
      <c r="D92" s="13"/>
      <c r="E92" s="46"/>
      <c r="G92" s="13" t="str">
        <f>IF(Embalagens[preço] &lt;&gt; "", Embalagens[[#This Row],[preço]] / IF(Embalagens[[#This Row],[medida]] = "unidades", Embalagens[[#This Row],[quantidade]], 1), "")</f>
        <v/>
      </c>
      <c r="H92" s="13" t="str">
        <f>IFERROR(Embalagens[[#This Row],[preço]] / (Embalagens[quantidade] / IF(Embalagens[[#This Row],[medida]] = "Gramas", 1000, IF(Embalagens[[#This Row],[medida]] = "Quilos", 1, 0))), "")</f>
        <v/>
      </c>
      <c r="I92" s="45" t="str">
        <f>IFERROR(Embalagens[[#This Row],[preço]] / (Embalagens[quantidade] * IF(Embalagens[[#This Row],[medida]] = "Gramas", 1, IF(Embalagens[[#This Row],[medida]] = "Quilos", 1000, 0))), "")</f>
        <v/>
      </c>
      <c r="J92" s="45" t="str">
        <f>IFERROR(Embalagens[[#This Row],[preço]] / (Embalagens[quantidade] / IF(Embalagens[[#This Row],[medida]] = "ML", 1000, IF(Embalagens[[#This Row],[medida]] = "Litros", 1, 0))), "")</f>
        <v/>
      </c>
      <c r="K92" s="45" t="str">
        <f>IFERROR(Embalagens[[#This Row],[preço]] / (Embalagens[quantidade] * IF(Embalagens[[#This Row],[medida]] = "ML", 1, IF(Embalagens[[#This Row],[medida]] = "Litros", 1000, 0))), "")</f>
        <v/>
      </c>
    </row>
    <row r="93" spans="2:11">
      <c r="B93">
        <v>79</v>
      </c>
      <c r="D93" s="13"/>
      <c r="E93" s="46"/>
      <c r="G93" s="13" t="str">
        <f>IF(Embalagens[preço] &lt;&gt; "", Embalagens[[#This Row],[preço]] / IF(Embalagens[[#This Row],[medida]] = "unidades", Embalagens[[#This Row],[quantidade]], 1), "")</f>
        <v/>
      </c>
      <c r="H93" s="13" t="str">
        <f>IFERROR(Embalagens[[#This Row],[preço]] / (Embalagens[quantidade] / IF(Embalagens[[#This Row],[medida]] = "Gramas", 1000, IF(Embalagens[[#This Row],[medida]] = "Quilos", 1, 0))), "")</f>
        <v/>
      </c>
      <c r="I93" s="45" t="str">
        <f>IFERROR(Embalagens[[#This Row],[preço]] / (Embalagens[quantidade] * IF(Embalagens[[#This Row],[medida]] = "Gramas", 1, IF(Embalagens[[#This Row],[medida]] = "Quilos", 1000, 0))), "")</f>
        <v/>
      </c>
      <c r="J93" s="45" t="str">
        <f>IFERROR(Embalagens[[#This Row],[preço]] / (Embalagens[quantidade] / IF(Embalagens[[#This Row],[medida]] = "ML", 1000, IF(Embalagens[[#This Row],[medida]] = "Litros", 1, 0))), "")</f>
        <v/>
      </c>
      <c r="K93" s="45" t="str">
        <f>IFERROR(Embalagens[[#This Row],[preço]] / (Embalagens[quantidade] * IF(Embalagens[[#This Row],[medida]] = "ML", 1, IF(Embalagens[[#This Row],[medida]] = "Litros", 1000, 0))), "")</f>
        <v/>
      </c>
    </row>
    <row r="94" spans="2:11">
      <c r="B94">
        <v>80</v>
      </c>
      <c r="D94" s="13"/>
      <c r="E94" s="46"/>
      <c r="G94" s="13" t="str">
        <f>IF(Embalagens[preço] &lt;&gt; "", Embalagens[[#This Row],[preço]] / IF(Embalagens[[#This Row],[medida]] = "unidades", Embalagens[[#This Row],[quantidade]], 1), "")</f>
        <v/>
      </c>
      <c r="H94" s="13" t="str">
        <f>IFERROR(Embalagens[[#This Row],[preço]] / (Embalagens[quantidade] / IF(Embalagens[[#This Row],[medida]] = "Gramas", 1000, IF(Embalagens[[#This Row],[medida]] = "Quilos", 1, 0))), "")</f>
        <v/>
      </c>
      <c r="I94" s="45" t="str">
        <f>IFERROR(Embalagens[[#This Row],[preço]] / (Embalagens[quantidade] * IF(Embalagens[[#This Row],[medida]] = "Gramas", 1, IF(Embalagens[[#This Row],[medida]] = "Quilos", 1000, 0))), "")</f>
        <v/>
      </c>
      <c r="J94" s="45" t="str">
        <f>IFERROR(Embalagens[[#This Row],[preço]] / (Embalagens[quantidade] / IF(Embalagens[[#This Row],[medida]] = "ML", 1000, IF(Embalagens[[#This Row],[medida]] = "Litros", 1, 0))), "")</f>
        <v/>
      </c>
      <c r="K94" s="45" t="str">
        <f>IFERROR(Embalagens[[#This Row],[preço]] / (Embalagens[quantidade] * IF(Embalagens[[#This Row],[medida]] = "ML", 1, IF(Embalagens[[#This Row],[medida]] = "Litros", 1000, 0))), "")</f>
        <v/>
      </c>
    </row>
    <row r="95" spans="2:11">
      <c r="B95">
        <v>81</v>
      </c>
      <c r="D95" s="13"/>
      <c r="E95" s="46"/>
      <c r="G95" s="13" t="str">
        <f>IF(Embalagens[preço] &lt;&gt; "", Embalagens[[#This Row],[preço]] / IF(Embalagens[[#This Row],[medida]] = "unidades", Embalagens[[#This Row],[quantidade]], 1), "")</f>
        <v/>
      </c>
      <c r="H95" s="13" t="str">
        <f>IFERROR(Embalagens[[#This Row],[preço]] / (Embalagens[quantidade] / IF(Embalagens[[#This Row],[medida]] = "Gramas", 1000, IF(Embalagens[[#This Row],[medida]] = "Quilos", 1, 0))), "")</f>
        <v/>
      </c>
      <c r="I95" s="45" t="str">
        <f>IFERROR(Embalagens[[#This Row],[preço]] / (Embalagens[quantidade] * IF(Embalagens[[#This Row],[medida]] = "Gramas", 1, IF(Embalagens[[#This Row],[medida]] = "Quilos", 1000, 0))), "")</f>
        <v/>
      </c>
      <c r="J95" s="45" t="str">
        <f>IFERROR(Embalagens[[#This Row],[preço]] / (Embalagens[quantidade] / IF(Embalagens[[#This Row],[medida]] = "ML", 1000, IF(Embalagens[[#This Row],[medida]] = "Litros", 1, 0))), "")</f>
        <v/>
      </c>
      <c r="K95" s="45" t="str">
        <f>IFERROR(Embalagens[[#This Row],[preço]] / (Embalagens[quantidade] * IF(Embalagens[[#This Row],[medida]] = "ML", 1, IF(Embalagens[[#This Row],[medida]] = "Litros", 1000, 0))), "")</f>
        <v/>
      </c>
    </row>
    <row r="96" spans="2:11">
      <c r="B96">
        <v>82</v>
      </c>
      <c r="D96" s="13"/>
      <c r="E96" s="46"/>
      <c r="G96" s="13" t="str">
        <f>IF(Embalagens[preço] &lt;&gt; "", Embalagens[[#This Row],[preço]] / IF(Embalagens[[#This Row],[medida]] = "unidades", Embalagens[[#This Row],[quantidade]], 1), "")</f>
        <v/>
      </c>
      <c r="H96" s="13" t="str">
        <f>IFERROR(Embalagens[[#This Row],[preço]] / (Embalagens[quantidade] / IF(Embalagens[[#This Row],[medida]] = "Gramas", 1000, IF(Embalagens[[#This Row],[medida]] = "Quilos", 1, 0))), "")</f>
        <v/>
      </c>
      <c r="I96" s="45" t="str">
        <f>IFERROR(Embalagens[[#This Row],[preço]] / (Embalagens[quantidade] * IF(Embalagens[[#This Row],[medida]] = "Gramas", 1, IF(Embalagens[[#This Row],[medida]] = "Quilos", 1000, 0))), "")</f>
        <v/>
      </c>
      <c r="J96" s="45" t="str">
        <f>IFERROR(Embalagens[[#This Row],[preço]] / (Embalagens[quantidade] / IF(Embalagens[[#This Row],[medida]] = "ML", 1000, IF(Embalagens[[#This Row],[medida]] = "Litros", 1, 0))), "")</f>
        <v/>
      </c>
      <c r="K96" s="45" t="str">
        <f>IFERROR(Embalagens[[#This Row],[preço]] / (Embalagens[quantidade] * IF(Embalagens[[#This Row],[medida]] = "ML", 1, IF(Embalagens[[#This Row],[medida]] = "Litros", 1000, 0))), "")</f>
        <v/>
      </c>
    </row>
    <row r="97" spans="2:11">
      <c r="B97">
        <v>83</v>
      </c>
      <c r="D97" s="13"/>
      <c r="E97" s="46"/>
      <c r="G97" s="13" t="str">
        <f>IF(Embalagens[preço] &lt;&gt; "", Embalagens[[#This Row],[preço]] / IF(Embalagens[[#This Row],[medida]] = "unidades", Embalagens[[#This Row],[quantidade]], 1), "")</f>
        <v/>
      </c>
      <c r="H97" s="13" t="str">
        <f>IFERROR(Embalagens[[#This Row],[preço]] / (Embalagens[quantidade] / IF(Embalagens[[#This Row],[medida]] = "Gramas", 1000, IF(Embalagens[[#This Row],[medida]] = "Quilos", 1, 0))), "")</f>
        <v/>
      </c>
      <c r="I97" s="45" t="str">
        <f>IFERROR(Embalagens[[#This Row],[preço]] / (Embalagens[quantidade] * IF(Embalagens[[#This Row],[medida]] = "Gramas", 1, IF(Embalagens[[#This Row],[medida]] = "Quilos", 1000, 0))), "")</f>
        <v/>
      </c>
      <c r="J97" s="45" t="str">
        <f>IFERROR(Embalagens[[#This Row],[preço]] / (Embalagens[quantidade] / IF(Embalagens[[#This Row],[medida]] = "ML", 1000, IF(Embalagens[[#This Row],[medida]] = "Litros", 1, 0))), "")</f>
        <v/>
      </c>
      <c r="K97" s="45" t="str">
        <f>IFERROR(Embalagens[[#This Row],[preço]] / (Embalagens[quantidade] * IF(Embalagens[[#This Row],[medida]] = "ML", 1, IF(Embalagens[[#This Row],[medida]] = "Litros", 1000, 0))), "")</f>
        <v/>
      </c>
    </row>
    <row r="98" spans="2:11">
      <c r="B98">
        <v>84</v>
      </c>
      <c r="D98" s="13"/>
      <c r="E98" s="46"/>
      <c r="G98" s="13" t="str">
        <f>IF(Embalagens[preço] &lt;&gt; "", Embalagens[[#This Row],[preço]] / IF(Embalagens[[#This Row],[medida]] = "unidades", Embalagens[[#This Row],[quantidade]], 1), "")</f>
        <v/>
      </c>
      <c r="H98" s="13" t="str">
        <f>IFERROR(Embalagens[[#This Row],[preço]] / (Embalagens[quantidade] / IF(Embalagens[[#This Row],[medida]] = "Gramas", 1000, IF(Embalagens[[#This Row],[medida]] = "Quilos", 1, 0))), "")</f>
        <v/>
      </c>
      <c r="I98" s="45" t="str">
        <f>IFERROR(Embalagens[[#This Row],[preço]] / (Embalagens[quantidade] * IF(Embalagens[[#This Row],[medida]] = "Gramas", 1, IF(Embalagens[[#This Row],[medida]] = "Quilos", 1000, 0))), "")</f>
        <v/>
      </c>
      <c r="J98" s="45" t="str">
        <f>IFERROR(Embalagens[[#This Row],[preço]] / (Embalagens[quantidade] / IF(Embalagens[[#This Row],[medida]] = "ML", 1000, IF(Embalagens[[#This Row],[medida]] = "Litros", 1, 0))), "")</f>
        <v/>
      </c>
      <c r="K98" s="45" t="str">
        <f>IFERROR(Embalagens[[#This Row],[preço]] / (Embalagens[quantidade] * IF(Embalagens[[#This Row],[medida]] = "ML", 1, IF(Embalagens[[#This Row],[medida]] = "Litros", 1000, 0))), "")</f>
        <v/>
      </c>
    </row>
    <row r="99" spans="2:11">
      <c r="B99">
        <v>85</v>
      </c>
      <c r="D99" s="13"/>
      <c r="E99" s="46"/>
      <c r="G99" s="13" t="str">
        <f>IF(Embalagens[preço] &lt;&gt; "", Embalagens[[#This Row],[preço]] / IF(Embalagens[[#This Row],[medida]] = "unidades", Embalagens[[#This Row],[quantidade]], 1), "")</f>
        <v/>
      </c>
      <c r="H99" s="13" t="str">
        <f>IFERROR(Embalagens[[#This Row],[preço]] / (Embalagens[quantidade] / IF(Embalagens[[#This Row],[medida]] = "Gramas", 1000, IF(Embalagens[[#This Row],[medida]] = "Quilos", 1, 0))), "")</f>
        <v/>
      </c>
      <c r="I99" s="45" t="str">
        <f>IFERROR(Embalagens[[#This Row],[preço]] / (Embalagens[quantidade] * IF(Embalagens[[#This Row],[medida]] = "Gramas", 1, IF(Embalagens[[#This Row],[medida]] = "Quilos", 1000, 0))), "")</f>
        <v/>
      </c>
      <c r="J99" s="45" t="str">
        <f>IFERROR(Embalagens[[#This Row],[preço]] / (Embalagens[quantidade] / IF(Embalagens[[#This Row],[medida]] = "ML", 1000, IF(Embalagens[[#This Row],[medida]] = "Litros", 1, 0))), "")</f>
        <v/>
      </c>
      <c r="K99" s="45" t="str">
        <f>IFERROR(Embalagens[[#This Row],[preço]] / (Embalagens[quantidade] * IF(Embalagens[[#This Row],[medida]] = "ML", 1, IF(Embalagens[[#This Row],[medida]] = "Litros", 1000, 0))), "")</f>
        <v/>
      </c>
    </row>
    <row r="100" spans="2:11">
      <c r="B100">
        <v>86</v>
      </c>
      <c r="D100" s="13"/>
      <c r="E100" s="46"/>
      <c r="G100" s="13" t="str">
        <f>IF(Embalagens[preço] &lt;&gt; "", Embalagens[[#This Row],[preço]] / IF(Embalagens[[#This Row],[medida]] = "unidades", Embalagens[[#This Row],[quantidade]], 1), "")</f>
        <v/>
      </c>
      <c r="H100" s="13" t="str">
        <f>IFERROR(Embalagens[[#This Row],[preço]] / (Embalagens[quantidade] / IF(Embalagens[[#This Row],[medida]] = "Gramas", 1000, IF(Embalagens[[#This Row],[medida]] = "Quilos", 1, 0))), "")</f>
        <v/>
      </c>
      <c r="I100" s="45" t="str">
        <f>IFERROR(Embalagens[[#This Row],[preço]] / (Embalagens[quantidade] * IF(Embalagens[[#This Row],[medida]] = "Gramas", 1, IF(Embalagens[[#This Row],[medida]] = "Quilos", 1000, 0))), "")</f>
        <v/>
      </c>
      <c r="J100" s="45" t="str">
        <f>IFERROR(Embalagens[[#This Row],[preço]] / (Embalagens[quantidade] / IF(Embalagens[[#This Row],[medida]] = "ML", 1000, IF(Embalagens[[#This Row],[medida]] = "Litros", 1, 0))), "")</f>
        <v/>
      </c>
      <c r="K100" s="45" t="str">
        <f>IFERROR(Embalagens[[#This Row],[preço]] / (Embalagens[quantidade] * IF(Embalagens[[#This Row],[medida]] = "ML", 1, IF(Embalagens[[#This Row],[medida]] = "Litros", 1000, 0))), "")</f>
        <v/>
      </c>
    </row>
    <row r="101" spans="2:11">
      <c r="B101">
        <v>87</v>
      </c>
      <c r="D101" s="13"/>
      <c r="E101" s="46"/>
      <c r="G101" s="13" t="str">
        <f>IF(Embalagens[preço] &lt;&gt; "", Embalagens[[#This Row],[preço]] / IF(Embalagens[[#This Row],[medida]] = "unidades", Embalagens[[#This Row],[quantidade]], 1), "")</f>
        <v/>
      </c>
      <c r="H101" s="13" t="str">
        <f>IFERROR(Embalagens[[#This Row],[preço]] / (Embalagens[quantidade] / IF(Embalagens[[#This Row],[medida]] = "Gramas", 1000, IF(Embalagens[[#This Row],[medida]] = "Quilos", 1, 0))), "")</f>
        <v/>
      </c>
      <c r="I101" s="45" t="str">
        <f>IFERROR(Embalagens[[#This Row],[preço]] / (Embalagens[quantidade] * IF(Embalagens[[#This Row],[medida]] = "Gramas", 1, IF(Embalagens[[#This Row],[medida]] = "Quilos", 1000, 0))), "")</f>
        <v/>
      </c>
      <c r="J101" s="45" t="str">
        <f>IFERROR(Embalagens[[#This Row],[preço]] / (Embalagens[quantidade] / IF(Embalagens[[#This Row],[medida]] = "ML", 1000, IF(Embalagens[[#This Row],[medida]] = "Litros", 1, 0))), "")</f>
        <v/>
      </c>
      <c r="K101" s="45" t="str">
        <f>IFERROR(Embalagens[[#This Row],[preço]] / (Embalagens[quantidade] * IF(Embalagens[[#This Row],[medida]] = "ML", 1, IF(Embalagens[[#This Row],[medida]] = "Litros", 1000, 0))), "")</f>
        <v/>
      </c>
    </row>
    <row r="102" spans="2:11">
      <c r="B102">
        <v>88</v>
      </c>
      <c r="D102" s="13"/>
      <c r="E102" s="46"/>
      <c r="G102" s="13" t="str">
        <f>IF(Embalagens[preço] &lt;&gt; "", Embalagens[[#This Row],[preço]] / IF(Embalagens[[#This Row],[medida]] = "unidades", Embalagens[[#This Row],[quantidade]], 1), "")</f>
        <v/>
      </c>
      <c r="H102" s="13" t="str">
        <f>IFERROR(Embalagens[[#This Row],[preço]] / (Embalagens[quantidade] / IF(Embalagens[[#This Row],[medida]] = "Gramas", 1000, IF(Embalagens[[#This Row],[medida]] = "Quilos", 1, 0))), "")</f>
        <v/>
      </c>
      <c r="I102" s="45" t="str">
        <f>IFERROR(Embalagens[[#This Row],[preço]] / (Embalagens[quantidade] * IF(Embalagens[[#This Row],[medida]] = "Gramas", 1, IF(Embalagens[[#This Row],[medida]] = "Quilos", 1000, 0))), "")</f>
        <v/>
      </c>
      <c r="J102" s="45" t="str">
        <f>IFERROR(Embalagens[[#This Row],[preço]] / (Embalagens[quantidade] / IF(Embalagens[[#This Row],[medida]] = "ML", 1000, IF(Embalagens[[#This Row],[medida]] = "Litros", 1, 0))), "")</f>
        <v/>
      </c>
      <c r="K102" s="45" t="str">
        <f>IFERROR(Embalagens[[#This Row],[preço]] / (Embalagens[quantidade] * IF(Embalagens[[#This Row],[medida]] = "ML", 1, IF(Embalagens[[#This Row],[medida]] = "Litros", 1000, 0))), "")</f>
        <v/>
      </c>
    </row>
    <row r="103" spans="2:11">
      <c r="B103">
        <v>89</v>
      </c>
      <c r="D103" s="13"/>
      <c r="E103" s="46"/>
      <c r="G103" s="13" t="str">
        <f>IF(Embalagens[preço] &lt;&gt; "", Embalagens[[#This Row],[preço]] / IF(Embalagens[[#This Row],[medida]] = "unidades", Embalagens[[#This Row],[quantidade]], 1), "")</f>
        <v/>
      </c>
      <c r="H103" s="13" t="str">
        <f>IFERROR(Embalagens[[#This Row],[preço]] / (Embalagens[quantidade] / IF(Embalagens[[#This Row],[medida]] = "Gramas", 1000, IF(Embalagens[[#This Row],[medida]] = "Quilos", 1, 0))), "")</f>
        <v/>
      </c>
      <c r="I103" s="45" t="str">
        <f>IFERROR(Embalagens[[#This Row],[preço]] / (Embalagens[quantidade] * IF(Embalagens[[#This Row],[medida]] = "Gramas", 1, IF(Embalagens[[#This Row],[medida]] = "Quilos", 1000, 0))), "")</f>
        <v/>
      </c>
      <c r="J103" s="45" t="str">
        <f>IFERROR(Embalagens[[#This Row],[preço]] / (Embalagens[quantidade] / IF(Embalagens[[#This Row],[medida]] = "ML", 1000, IF(Embalagens[[#This Row],[medida]] = "Litros", 1, 0))), "")</f>
        <v/>
      </c>
      <c r="K103" s="45" t="str">
        <f>IFERROR(Embalagens[[#This Row],[preço]] / (Embalagens[quantidade] * IF(Embalagens[[#This Row],[medida]] = "ML", 1, IF(Embalagens[[#This Row],[medida]] = "Litros", 1000, 0))), "")</f>
        <v/>
      </c>
    </row>
    <row r="104" spans="2:11">
      <c r="B104">
        <v>90</v>
      </c>
      <c r="D104" s="13"/>
      <c r="E104" s="46"/>
      <c r="G104" s="13" t="str">
        <f>IF(Embalagens[preço] &lt;&gt; "", Embalagens[[#This Row],[preço]] / IF(Embalagens[[#This Row],[medida]] = "unidades", Embalagens[[#This Row],[quantidade]], 1), "")</f>
        <v/>
      </c>
      <c r="H104" s="13" t="str">
        <f>IFERROR(Embalagens[[#This Row],[preço]] / (Embalagens[quantidade] / IF(Embalagens[[#This Row],[medida]] = "Gramas", 1000, IF(Embalagens[[#This Row],[medida]] = "Quilos", 1, 0))), "")</f>
        <v/>
      </c>
      <c r="I104" s="45" t="str">
        <f>IFERROR(Embalagens[[#This Row],[preço]] / (Embalagens[quantidade] * IF(Embalagens[[#This Row],[medida]] = "Gramas", 1, IF(Embalagens[[#This Row],[medida]] = "Quilos", 1000, 0))), "")</f>
        <v/>
      </c>
      <c r="J104" s="45" t="str">
        <f>IFERROR(Embalagens[[#This Row],[preço]] / (Embalagens[quantidade] / IF(Embalagens[[#This Row],[medida]] = "ML", 1000, IF(Embalagens[[#This Row],[medida]] = "Litros", 1, 0))), "")</f>
        <v/>
      </c>
      <c r="K104" s="45" t="str">
        <f>IFERROR(Embalagens[[#This Row],[preço]] / (Embalagens[quantidade] * IF(Embalagens[[#This Row],[medida]] = "ML", 1, IF(Embalagens[[#This Row],[medida]] = "Litros", 1000, 0))), "")</f>
        <v/>
      </c>
    </row>
    <row r="105" spans="2:11">
      <c r="B105">
        <v>91</v>
      </c>
      <c r="D105" s="13"/>
      <c r="E105" s="46"/>
      <c r="G105" s="13" t="str">
        <f>IF(Embalagens[preço] &lt;&gt; "", Embalagens[[#This Row],[preço]] / IF(Embalagens[[#This Row],[medida]] = "unidades", Embalagens[[#This Row],[quantidade]], 1), "")</f>
        <v/>
      </c>
      <c r="H105" s="13" t="str">
        <f>IFERROR(Embalagens[[#This Row],[preço]] / (Embalagens[quantidade] / IF(Embalagens[[#This Row],[medida]] = "Gramas", 1000, IF(Embalagens[[#This Row],[medida]] = "Quilos", 1, 0))), "")</f>
        <v/>
      </c>
      <c r="I105" s="45" t="str">
        <f>IFERROR(Embalagens[[#This Row],[preço]] / (Embalagens[quantidade] * IF(Embalagens[[#This Row],[medida]] = "Gramas", 1, IF(Embalagens[[#This Row],[medida]] = "Quilos", 1000, 0))), "")</f>
        <v/>
      </c>
      <c r="J105" s="45" t="str">
        <f>IFERROR(Embalagens[[#This Row],[preço]] / (Embalagens[quantidade] / IF(Embalagens[[#This Row],[medida]] = "ML", 1000, IF(Embalagens[[#This Row],[medida]] = "Litros", 1, 0))), "")</f>
        <v/>
      </c>
      <c r="K105" s="45" t="str">
        <f>IFERROR(Embalagens[[#This Row],[preço]] / (Embalagens[quantidade] * IF(Embalagens[[#This Row],[medida]] = "ML", 1, IF(Embalagens[[#This Row],[medida]] = "Litros", 1000, 0))), "")</f>
        <v/>
      </c>
    </row>
    <row r="106" spans="2:11">
      <c r="B106">
        <v>92</v>
      </c>
      <c r="D106" s="13"/>
      <c r="E106" s="46"/>
      <c r="G106" s="13" t="str">
        <f>IF(Embalagens[preço] &lt;&gt; "", Embalagens[[#This Row],[preço]] / IF(Embalagens[[#This Row],[medida]] = "unidades", Embalagens[[#This Row],[quantidade]], 1), "")</f>
        <v/>
      </c>
      <c r="H106" s="13" t="str">
        <f>IFERROR(Embalagens[[#This Row],[preço]] / (Embalagens[quantidade] / IF(Embalagens[[#This Row],[medida]] = "Gramas", 1000, IF(Embalagens[[#This Row],[medida]] = "Quilos", 1, 0))), "")</f>
        <v/>
      </c>
      <c r="I106" s="45" t="str">
        <f>IFERROR(Embalagens[[#This Row],[preço]] / (Embalagens[quantidade] * IF(Embalagens[[#This Row],[medida]] = "Gramas", 1, IF(Embalagens[[#This Row],[medida]] = "Quilos", 1000, 0))), "")</f>
        <v/>
      </c>
      <c r="J106" s="45" t="str">
        <f>IFERROR(Embalagens[[#This Row],[preço]] / (Embalagens[quantidade] / IF(Embalagens[[#This Row],[medida]] = "ML", 1000, IF(Embalagens[[#This Row],[medida]] = "Litros", 1, 0))), "")</f>
        <v/>
      </c>
      <c r="K106" s="45" t="str">
        <f>IFERROR(Embalagens[[#This Row],[preço]] / (Embalagens[quantidade] * IF(Embalagens[[#This Row],[medida]] = "ML", 1, IF(Embalagens[[#This Row],[medida]] = "Litros", 1000, 0))), "")</f>
        <v/>
      </c>
    </row>
    <row r="107" spans="2:11">
      <c r="B107">
        <v>93</v>
      </c>
      <c r="D107" s="13"/>
      <c r="E107" s="46"/>
      <c r="G107" s="13" t="str">
        <f>IF(Embalagens[preço] &lt;&gt; "", Embalagens[[#This Row],[preço]] / IF(Embalagens[[#This Row],[medida]] = "unidades", Embalagens[[#This Row],[quantidade]], 1), "")</f>
        <v/>
      </c>
      <c r="H107" s="13" t="str">
        <f>IFERROR(Embalagens[[#This Row],[preço]] / (Embalagens[quantidade] / IF(Embalagens[[#This Row],[medida]] = "Gramas", 1000, IF(Embalagens[[#This Row],[medida]] = "Quilos", 1, 0))), "")</f>
        <v/>
      </c>
      <c r="I107" s="45" t="str">
        <f>IFERROR(Embalagens[[#This Row],[preço]] / (Embalagens[quantidade] * IF(Embalagens[[#This Row],[medida]] = "Gramas", 1, IF(Embalagens[[#This Row],[medida]] = "Quilos", 1000, 0))), "")</f>
        <v/>
      </c>
      <c r="J107" s="45" t="str">
        <f>IFERROR(Embalagens[[#This Row],[preço]] / (Embalagens[quantidade] / IF(Embalagens[[#This Row],[medida]] = "ML", 1000, IF(Embalagens[[#This Row],[medida]] = "Litros", 1, 0))), "")</f>
        <v/>
      </c>
      <c r="K107" s="45" t="str">
        <f>IFERROR(Embalagens[[#This Row],[preço]] / (Embalagens[quantidade] * IF(Embalagens[[#This Row],[medida]] = "ML", 1, IF(Embalagens[[#This Row],[medida]] = "Litros", 1000, 0))), "")</f>
        <v/>
      </c>
    </row>
    <row r="108" spans="2:11">
      <c r="B108">
        <v>94</v>
      </c>
      <c r="D108" s="13"/>
      <c r="E108" s="46"/>
      <c r="G108" s="13" t="str">
        <f>IF(Embalagens[preço] &lt;&gt; "", Embalagens[[#This Row],[preço]] / IF(Embalagens[[#This Row],[medida]] = "unidades", Embalagens[[#This Row],[quantidade]], 1), "")</f>
        <v/>
      </c>
      <c r="H108" s="13" t="str">
        <f>IFERROR(Embalagens[[#This Row],[preço]] / (Embalagens[quantidade] / IF(Embalagens[[#This Row],[medida]] = "Gramas", 1000, IF(Embalagens[[#This Row],[medida]] = "Quilos", 1, 0))), "")</f>
        <v/>
      </c>
      <c r="I108" s="45" t="str">
        <f>IFERROR(Embalagens[[#This Row],[preço]] / (Embalagens[quantidade] * IF(Embalagens[[#This Row],[medida]] = "Gramas", 1, IF(Embalagens[[#This Row],[medida]] = "Quilos", 1000, 0))), "")</f>
        <v/>
      </c>
      <c r="J108" s="45" t="str">
        <f>IFERROR(Embalagens[[#This Row],[preço]] / (Embalagens[quantidade] / IF(Embalagens[[#This Row],[medida]] = "ML", 1000, IF(Embalagens[[#This Row],[medida]] = "Litros", 1, 0))), "")</f>
        <v/>
      </c>
      <c r="K108" s="45" t="str">
        <f>IFERROR(Embalagens[[#This Row],[preço]] / (Embalagens[quantidade] * IF(Embalagens[[#This Row],[medida]] = "ML", 1, IF(Embalagens[[#This Row],[medida]] = "Litros", 1000, 0))), "")</f>
        <v/>
      </c>
    </row>
    <row r="109" spans="2:11">
      <c r="B109">
        <v>95</v>
      </c>
      <c r="D109" s="13"/>
      <c r="E109" s="46"/>
      <c r="G109" s="13" t="str">
        <f>IF(Embalagens[preço] &lt;&gt; "", Embalagens[[#This Row],[preço]] / IF(Embalagens[[#This Row],[medida]] = "unidades", Embalagens[[#This Row],[quantidade]], 1), "")</f>
        <v/>
      </c>
      <c r="H109" s="13" t="str">
        <f>IFERROR(Embalagens[[#This Row],[preço]] / (Embalagens[quantidade] / IF(Embalagens[[#This Row],[medida]] = "Gramas", 1000, IF(Embalagens[[#This Row],[medida]] = "Quilos", 1, 0))), "")</f>
        <v/>
      </c>
      <c r="I109" s="45" t="str">
        <f>IFERROR(Embalagens[[#This Row],[preço]] / (Embalagens[quantidade] * IF(Embalagens[[#This Row],[medida]] = "Gramas", 1, IF(Embalagens[[#This Row],[medida]] = "Quilos", 1000, 0))), "")</f>
        <v/>
      </c>
      <c r="J109" s="45" t="str">
        <f>IFERROR(Embalagens[[#This Row],[preço]] / (Embalagens[quantidade] / IF(Embalagens[[#This Row],[medida]] = "ML", 1000, IF(Embalagens[[#This Row],[medida]] = "Litros", 1, 0))), "")</f>
        <v/>
      </c>
      <c r="K109" s="45" t="str">
        <f>IFERROR(Embalagens[[#This Row],[preço]] / (Embalagens[quantidade] * IF(Embalagens[[#This Row],[medida]] = "ML", 1, IF(Embalagens[[#This Row],[medida]] = "Litros", 1000, 0))), "")</f>
        <v/>
      </c>
    </row>
    <row r="110" spans="2:11">
      <c r="B110">
        <v>96</v>
      </c>
      <c r="D110" s="13"/>
      <c r="E110" s="46"/>
      <c r="G110" s="13" t="str">
        <f>IF(Embalagens[preço] &lt;&gt; "", Embalagens[[#This Row],[preço]] / IF(Embalagens[[#This Row],[medida]] = "unidades", Embalagens[[#This Row],[quantidade]], 1), "")</f>
        <v/>
      </c>
      <c r="H110" s="13" t="str">
        <f>IFERROR(Embalagens[[#This Row],[preço]] / (Embalagens[quantidade] / IF(Embalagens[[#This Row],[medida]] = "Gramas", 1000, IF(Embalagens[[#This Row],[medida]] = "Quilos", 1, 0))), "")</f>
        <v/>
      </c>
      <c r="I110" s="45" t="str">
        <f>IFERROR(Embalagens[[#This Row],[preço]] / (Embalagens[quantidade] * IF(Embalagens[[#This Row],[medida]] = "Gramas", 1, IF(Embalagens[[#This Row],[medida]] = "Quilos", 1000, 0))), "")</f>
        <v/>
      </c>
      <c r="J110" s="45" t="str">
        <f>IFERROR(Embalagens[[#This Row],[preço]] / (Embalagens[quantidade] / IF(Embalagens[[#This Row],[medida]] = "ML", 1000, IF(Embalagens[[#This Row],[medida]] = "Litros", 1, 0))), "")</f>
        <v/>
      </c>
      <c r="K110" s="45" t="str">
        <f>IFERROR(Embalagens[[#This Row],[preço]] / (Embalagens[quantidade] * IF(Embalagens[[#This Row],[medida]] = "ML", 1, IF(Embalagens[[#This Row],[medida]] = "Litros", 1000, 0))), "")</f>
        <v/>
      </c>
    </row>
    <row r="111" spans="2:11">
      <c r="B111">
        <v>97</v>
      </c>
      <c r="D111" s="13"/>
      <c r="E111" s="46"/>
      <c r="G111" s="13" t="str">
        <f>IF(Embalagens[preço] &lt;&gt; "", Embalagens[[#This Row],[preço]] / IF(Embalagens[[#This Row],[medida]] = "unidades", Embalagens[[#This Row],[quantidade]], 1), "")</f>
        <v/>
      </c>
      <c r="H111" s="13" t="str">
        <f>IFERROR(Embalagens[[#This Row],[preço]] / (Embalagens[quantidade] / IF(Embalagens[[#This Row],[medida]] = "Gramas", 1000, IF(Embalagens[[#This Row],[medida]] = "Quilos", 1, 0))), "")</f>
        <v/>
      </c>
      <c r="I111" s="45" t="str">
        <f>IFERROR(Embalagens[[#This Row],[preço]] / (Embalagens[quantidade] * IF(Embalagens[[#This Row],[medida]] = "Gramas", 1, IF(Embalagens[[#This Row],[medida]] = "Quilos", 1000, 0))), "")</f>
        <v/>
      </c>
      <c r="J111" s="45" t="str">
        <f>IFERROR(Embalagens[[#This Row],[preço]] / (Embalagens[quantidade] / IF(Embalagens[[#This Row],[medida]] = "ML", 1000, IF(Embalagens[[#This Row],[medida]] = "Litros", 1, 0))), "")</f>
        <v/>
      </c>
      <c r="K111" s="45" t="str">
        <f>IFERROR(Embalagens[[#This Row],[preço]] / (Embalagens[quantidade] * IF(Embalagens[[#This Row],[medida]] = "ML", 1, IF(Embalagens[[#This Row],[medida]] = "Litros", 1000, 0))), "")</f>
        <v/>
      </c>
    </row>
    <row r="112" spans="2:11">
      <c r="B112">
        <v>98</v>
      </c>
      <c r="D112" s="13"/>
      <c r="E112" s="46"/>
      <c r="G112" s="13" t="str">
        <f>IF(Embalagens[preço] &lt;&gt; "", Embalagens[[#This Row],[preço]] / IF(Embalagens[[#This Row],[medida]] = "unidades", Embalagens[[#This Row],[quantidade]], 1), "")</f>
        <v/>
      </c>
      <c r="H112" s="13" t="str">
        <f>IFERROR(Embalagens[[#This Row],[preço]] / (Embalagens[quantidade] / IF(Embalagens[[#This Row],[medida]] = "Gramas", 1000, IF(Embalagens[[#This Row],[medida]] = "Quilos", 1, 0))), "")</f>
        <v/>
      </c>
      <c r="I112" s="45" t="str">
        <f>IFERROR(Embalagens[[#This Row],[preço]] / (Embalagens[quantidade] * IF(Embalagens[[#This Row],[medida]] = "Gramas", 1, IF(Embalagens[[#This Row],[medida]] = "Quilos", 1000, 0))), "")</f>
        <v/>
      </c>
      <c r="J112" s="45" t="str">
        <f>IFERROR(Embalagens[[#This Row],[preço]] / (Embalagens[quantidade] / IF(Embalagens[[#This Row],[medida]] = "ML", 1000, IF(Embalagens[[#This Row],[medida]] = "Litros", 1, 0))), "")</f>
        <v/>
      </c>
      <c r="K112" s="45" t="str">
        <f>IFERROR(Embalagens[[#This Row],[preço]] / (Embalagens[quantidade] * IF(Embalagens[[#This Row],[medida]] = "ML", 1, IF(Embalagens[[#This Row],[medida]] = "Litros", 1000, 0))), "")</f>
        <v/>
      </c>
    </row>
    <row r="113" spans="2:11">
      <c r="B113">
        <v>99</v>
      </c>
      <c r="D113" s="13"/>
      <c r="E113" s="46"/>
      <c r="G113" s="13" t="str">
        <f>IF(Embalagens[preço] &lt;&gt; "", Embalagens[[#This Row],[preço]] / IF(Embalagens[[#This Row],[medida]] = "unidades", Embalagens[[#This Row],[quantidade]], 1), "")</f>
        <v/>
      </c>
      <c r="H113" s="13" t="str">
        <f>IFERROR(Embalagens[[#This Row],[preço]] / (Embalagens[quantidade] / IF(Embalagens[[#This Row],[medida]] = "Gramas", 1000, IF(Embalagens[[#This Row],[medida]] = "Quilos", 1, 0))), "")</f>
        <v/>
      </c>
      <c r="I113" s="45" t="str">
        <f>IFERROR(Embalagens[[#This Row],[preço]] / (Embalagens[quantidade] * IF(Embalagens[[#This Row],[medida]] = "Gramas", 1, IF(Embalagens[[#This Row],[medida]] = "Quilos", 1000, 0))), "")</f>
        <v/>
      </c>
      <c r="J113" s="45" t="str">
        <f>IFERROR(Embalagens[[#This Row],[preço]] / (Embalagens[quantidade] / IF(Embalagens[[#This Row],[medida]] = "ML", 1000, IF(Embalagens[[#This Row],[medida]] = "Litros", 1, 0))), "")</f>
        <v/>
      </c>
      <c r="K113" s="45" t="str">
        <f>IFERROR(Embalagens[[#This Row],[preço]] / (Embalagens[quantidade] * IF(Embalagens[[#This Row],[medida]] = "ML", 1, IF(Embalagens[[#This Row],[medida]] = "Litros", 1000, 0))), "")</f>
        <v/>
      </c>
    </row>
    <row r="114" spans="2:11">
      <c r="B114">
        <v>100</v>
      </c>
      <c r="D114" s="13"/>
      <c r="E114" s="46"/>
      <c r="G114" s="13" t="str">
        <f>IF(Embalagens[preço] &lt;&gt; "", Embalagens[[#This Row],[preço]] / IF(Embalagens[[#This Row],[medida]] = "unidades", Embalagens[[#This Row],[quantidade]], 1), "")</f>
        <v/>
      </c>
      <c r="H114" s="13" t="str">
        <f>IFERROR(Embalagens[[#This Row],[preço]] / (Embalagens[quantidade] / IF(Embalagens[[#This Row],[medida]] = "Gramas", 1000, IF(Embalagens[[#This Row],[medida]] = "Quilos", 1, 0))), "")</f>
        <v/>
      </c>
      <c r="I114" s="45" t="str">
        <f>IFERROR(Embalagens[[#This Row],[preço]] / (Embalagens[quantidade] * IF(Embalagens[[#This Row],[medida]] = "Gramas", 1, IF(Embalagens[[#This Row],[medida]] = "Quilos", 1000, 0))), "")</f>
        <v/>
      </c>
      <c r="J114" s="45" t="str">
        <f>IFERROR(Embalagens[[#This Row],[preço]] / (Embalagens[quantidade] / IF(Embalagens[[#This Row],[medida]] = "ML", 1000, IF(Embalagens[[#This Row],[medida]] = "Litros", 1, 0))), "")</f>
        <v/>
      </c>
      <c r="K114" s="45" t="str">
        <f>IFERROR(Embalagens[[#This Row],[preço]] / (Embalagens[quantidade] * IF(Embalagens[[#This Row],[medida]] = "ML", 1, IF(Embalagens[[#This Row],[medida]] = "Litros", 1000, 0))), "")</f>
        <v/>
      </c>
    </row>
    <row r="115" spans="2:11">
      <c r="B115">
        <v>101</v>
      </c>
      <c r="D115" s="13"/>
      <c r="E115" s="46"/>
      <c r="G115" s="13" t="str">
        <f>IF(Embalagens[preço] &lt;&gt; "", Embalagens[[#This Row],[preço]] / IF(Embalagens[[#This Row],[medida]] = "unidades", Embalagens[[#This Row],[quantidade]], 1), "")</f>
        <v/>
      </c>
      <c r="H115" s="13" t="str">
        <f>IFERROR(Embalagens[[#This Row],[preço]] / (Embalagens[quantidade] / IF(Embalagens[[#This Row],[medida]] = "Gramas", 1000, IF(Embalagens[[#This Row],[medida]] = "Quilos", 1, 0))), "")</f>
        <v/>
      </c>
      <c r="I115" s="45" t="str">
        <f>IFERROR(Embalagens[[#This Row],[preço]] / (Embalagens[quantidade] * IF(Embalagens[[#This Row],[medida]] = "Gramas", 1, IF(Embalagens[[#This Row],[medida]] = "Quilos", 1000, 0))), "")</f>
        <v/>
      </c>
      <c r="J115" s="45" t="str">
        <f>IFERROR(Embalagens[[#This Row],[preço]] / (Embalagens[quantidade] / IF(Embalagens[[#This Row],[medida]] = "ML", 1000, IF(Embalagens[[#This Row],[medida]] = "Litros", 1, 0))), "")</f>
        <v/>
      </c>
      <c r="K115" s="45" t="str">
        <f>IFERROR(Embalagens[[#This Row],[preço]] / (Embalagens[quantidade] * IF(Embalagens[[#This Row],[medida]] = "ML", 1, IF(Embalagens[[#This Row],[medida]] = "Litros", 1000, 0))), "")</f>
        <v/>
      </c>
    </row>
    <row r="116" spans="2:11">
      <c r="B116">
        <v>102</v>
      </c>
      <c r="D116" s="13"/>
      <c r="E116" s="46"/>
      <c r="G116" s="13" t="str">
        <f>IF(Embalagens[preço] &lt;&gt; "", Embalagens[[#This Row],[preço]] / IF(Embalagens[[#This Row],[medida]] = "unidades", Embalagens[[#This Row],[quantidade]], 1), "")</f>
        <v/>
      </c>
      <c r="H116" s="13" t="str">
        <f>IFERROR(Embalagens[[#This Row],[preço]] / (Embalagens[quantidade] / IF(Embalagens[[#This Row],[medida]] = "Gramas", 1000, IF(Embalagens[[#This Row],[medida]] = "Quilos", 1, 0))), "")</f>
        <v/>
      </c>
      <c r="I116" s="45" t="str">
        <f>IFERROR(Embalagens[[#This Row],[preço]] / (Embalagens[quantidade] * IF(Embalagens[[#This Row],[medida]] = "Gramas", 1, IF(Embalagens[[#This Row],[medida]] = "Quilos", 1000, 0))), "")</f>
        <v/>
      </c>
      <c r="J116" s="45" t="str">
        <f>IFERROR(Embalagens[[#This Row],[preço]] / (Embalagens[quantidade] / IF(Embalagens[[#This Row],[medida]] = "ML", 1000, IF(Embalagens[[#This Row],[medida]] = "Litros", 1, 0))), "")</f>
        <v/>
      </c>
      <c r="K116" s="45" t="str">
        <f>IFERROR(Embalagens[[#This Row],[preço]] / (Embalagens[quantidade] * IF(Embalagens[[#This Row],[medida]] = "ML", 1, IF(Embalagens[[#This Row],[medida]] = "Litros", 1000, 0))), "")</f>
        <v/>
      </c>
    </row>
    <row r="117" spans="2:11">
      <c r="B117">
        <v>103</v>
      </c>
      <c r="D117" s="13"/>
      <c r="E117" s="46"/>
      <c r="G117" s="13" t="str">
        <f>IF(Embalagens[preço] &lt;&gt; "", Embalagens[[#This Row],[preço]] / IF(Embalagens[[#This Row],[medida]] = "unidades", Embalagens[[#This Row],[quantidade]], 1), "")</f>
        <v/>
      </c>
      <c r="H117" s="13" t="str">
        <f>IFERROR(Embalagens[[#This Row],[preço]] / (Embalagens[quantidade] / IF(Embalagens[[#This Row],[medida]] = "Gramas", 1000, IF(Embalagens[[#This Row],[medida]] = "Quilos", 1, 0))), "")</f>
        <v/>
      </c>
      <c r="I117" s="45" t="str">
        <f>IFERROR(Embalagens[[#This Row],[preço]] / (Embalagens[quantidade] * IF(Embalagens[[#This Row],[medida]] = "Gramas", 1, IF(Embalagens[[#This Row],[medida]] = "Quilos", 1000, 0))), "")</f>
        <v/>
      </c>
      <c r="J117" s="45" t="str">
        <f>IFERROR(Embalagens[[#This Row],[preço]] / (Embalagens[quantidade] / IF(Embalagens[[#This Row],[medida]] = "ML", 1000, IF(Embalagens[[#This Row],[medida]] = "Litros", 1, 0))), "")</f>
        <v/>
      </c>
      <c r="K117" s="45" t="str">
        <f>IFERROR(Embalagens[[#This Row],[preço]] / (Embalagens[quantidade] * IF(Embalagens[[#This Row],[medida]] = "ML", 1, IF(Embalagens[[#This Row],[medida]] = "Litros", 1000, 0))), "")</f>
        <v/>
      </c>
    </row>
    <row r="118" spans="2:11">
      <c r="B118">
        <v>104</v>
      </c>
      <c r="D118" s="13"/>
      <c r="E118" s="46"/>
      <c r="G118" s="13" t="str">
        <f>IF(Embalagens[preço] &lt;&gt; "", Embalagens[[#This Row],[preço]] / IF(Embalagens[[#This Row],[medida]] = "unidades", Embalagens[[#This Row],[quantidade]], 1), "")</f>
        <v/>
      </c>
      <c r="H118" s="13" t="str">
        <f>IFERROR(Embalagens[[#This Row],[preço]] / (Embalagens[quantidade] / IF(Embalagens[[#This Row],[medida]] = "Gramas", 1000, IF(Embalagens[[#This Row],[medida]] = "Quilos", 1, 0))), "")</f>
        <v/>
      </c>
      <c r="I118" s="45" t="str">
        <f>IFERROR(Embalagens[[#This Row],[preço]] / (Embalagens[quantidade] * IF(Embalagens[[#This Row],[medida]] = "Gramas", 1, IF(Embalagens[[#This Row],[medida]] = "Quilos", 1000, 0))), "")</f>
        <v/>
      </c>
      <c r="J118" s="45" t="str">
        <f>IFERROR(Embalagens[[#This Row],[preço]] / (Embalagens[quantidade] / IF(Embalagens[[#This Row],[medida]] = "ML", 1000, IF(Embalagens[[#This Row],[medida]] = "Litros", 1, 0))), "")</f>
        <v/>
      </c>
      <c r="K118" s="45" t="str">
        <f>IFERROR(Embalagens[[#This Row],[preço]] / (Embalagens[quantidade] * IF(Embalagens[[#This Row],[medida]] = "ML", 1, IF(Embalagens[[#This Row],[medida]] = "Litros", 1000, 0))), "")</f>
        <v/>
      </c>
    </row>
    <row r="119" spans="2:11">
      <c r="B119">
        <v>105</v>
      </c>
      <c r="D119" s="13"/>
      <c r="E119" s="46"/>
      <c r="G119" s="13" t="str">
        <f>IF(Embalagens[preço] &lt;&gt; "", Embalagens[[#This Row],[preço]] / IF(Embalagens[[#This Row],[medida]] = "unidades", Embalagens[[#This Row],[quantidade]], 1), "")</f>
        <v/>
      </c>
      <c r="H119" s="13" t="str">
        <f>IFERROR(Embalagens[[#This Row],[preço]] / (Embalagens[quantidade] / IF(Embalagens[[#This Row],[medida]] = "Gramas", 1000, IF(Embalagens[[#This Row],[medida]] = "Quilos", 1, 0))), "")</f>
        <v/>
      </c>
      <c r="I119" s="45" t="str">
        <f>IFERROR(Embalagens[[#This Row],[preço]] / (Embalagens[quantidade] * IF(Embalagens[[#This Row],[medida]] = "Gramas", 1, IF(Embalagens[[#This Row],[medida]] = "Quilos", 1000, 0))), "")</f>
        <v/>
      </c>
      <c r="J119" s="45" t="str">
        <f>IFERROR(Embalagens[[#This Row],[preço]] / (Embalagens[quantidade] / IF(Embalagens[[#This Row],[medida]] = "ML", 1000, IF(Embalagens[[#This Row],[medida]] = "Litros", 1, 0))), "")</f>
        <v/>
      </c>
      <c r="K119" s="45" t="str">
        <f>IFERROR(Embalagens[[#This Row],[preço]] / (Embalagens[quantidade] * IF(Embalagens[[#This Row],[medida]] = "ML", 1, IF(Embalagens[[#This Row],[medida]] = "Litros", 1000, 0))), "")</f>
        <v/>
      </c>
    </row>
    <row r="120" spans="2:11">
      <c r="B120">
        <v>106</v>
      </c>
      <c r="D120" s="13"/>
      <c r="E120" s="46"/>
      <c r="G120" s="13" t="str">
        <f>IF(Embalagens[preço] &lt;&gt; "", Embalagens[[#This Row],[preço]] / IF(Embalagens[[#This Row],[medida]] = "unidades", Embalagens[[#This Row],[quantidade]], 1), "")</f>
        <v/>
      </c>
      <c r="H120" s="13" t="str">
        <f>IFERROR(Embalagens[[#This Row],[preço]] / (Embalagens[quantidade] / IF(Embalagens[[#This Row],[medida]] = "Gramas", 1000, IF(Embalagens[[#This Row],[medida]] = "Quilos", 1, 0))), "")</f>
        <v/>
      </c>
      <c r="I120" s="45" t="str">
        <f>IFERROR(Embalagens[[#This Row],[preço]] / (Embalagens[quantidade] * IF(Embalagens[[#This Row],[medida]] = "Gramas", 1, IF(Embalagens[[#This Row],[medida]] = "Quilos", 1000, 0))), "")</f>
        <v/>
      </c>
      <c r="J120" s="45" t="str">
        <f>IFERROR(Embalagens[[#This Row],[preço]] / (Embalagens[quantidade] / IF(Embalagens[[#This Row],[medida]] = "ML", 1000, IF(Embalagens[[#This Row],[medida]] = "Litros", 1, 0))), "")</f>
        <v/>
      </c>
      <c r="K120" s="45" t="str">
        <f>IFERROR(Embalagens[[#This Row],[preço]] / (Embalagens[quantidade] * IF(Embalagens[[#This Row],[medida]] = "ML", 1, IF(Embalagens[[#This Row],[medida]] = "Litros", 1000, 0))), "")</f>
        <v/>
      </c>
    </row>
    <row r="121" spans="2:11">
      <c r="B121">
        <v>107</v>
      </c>
      <c r="D121" s="13"/>
      <c r="E121" s="46"/>
      <c r="G121" s="13" t="str">
        <f>IF(Embalagens[preço] &lt;&gt; "", Embalagens[[#This Row],[preço]] / IF(Embalagens[[#This Row],[medida]] = "unidades", Embalagens[[#This Row],[quantidade]], 1), "")</f>
        <v/>
      </c>
      <c r="H121" s="13" t="str">
        <f>IFERROR(Embalagens[[#This Row],[preço]] / (Embalagens[quantidade] / IF(Embalagens[[#This Row],[medida]] = "Gramas", 1000, IF(Embalagens[[#This Row],[medida]] = "Quilos", 1, 0))), "")</f>
        <v/>
      </c>
      <c r="I121" s="45" t="str">
        <f>IFERROR(Embalagens[[#This Row],[preço]] / (Embalagens[quantidade] * IF(Embalagens[[#This Row],[medida]] = "Gramas", 1, IF(Embalagens[[#This Row],[medida]] = "Quilos", 1000, 0))), "")</f>
        <v/>
      </c>
      <c r="J121" s="45" t="str">
        <f>IFERROR(Embalagens[[#This Row],[preço]] / (Embalagens[quantidade] / IF(Embalagens[[#This Row],[medida]] = "ML", 1000, IF(Embalagens[[#This Row],[medida]] = "Litros", 1, 0))), "")</f>
        <v/>
      </c>
      <c r="K121" s="45" t="str">
        <f>IFERROR(Embalagens[[#This Row],[preço]] / (Embalagens[quantidade] * IF(Embalagens[[#This Row],[medida]] = "ML", 1, IF(Embalagens[[#This Row],[medida]] = "Litros", 1000, 0))), "")</f>
        <v/>
      </c>
    </row>
    <row r="122" spans="2:11">
      <c r="B122" t="s">
        <v>11</v>
      </c>
      <c r="D122" s="13">
        <f>SUBTOTAL(109,Embalagens[preço])</f>
        <v>32.65</v>
      </c>
    </row>
  </sheetData>
  <dataValidations count="1">
    <dataValidation type="list" allowBlank="1" showInputMessage="1" showErrorMessage="1" sqref="F5:F121" xr:uid="{7281C200-9278-4497-9C59-2E7F4613A561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6F282-26F7-43C4-B5A4-96FE17ACFB7C}">
  <sheetPr codeName="Planilha3"/>
  <dimension ref="B4:K122"/>
  <sheetViews>
    <sheetView topLeftCell="A40" zoomScale="81" workbookViewId="0">
      <selection activeCell="C43" sqref="C43"/>
    </sheetView>
  </sheetViews>
  <sheetFormatPr defaultRowHeight="15"/>
  <cols>
    <col min="2" max="2" width="9.140625" customWidth="1"/>
    <col min="3" max="3" width="46.85546875" bestFit="1" customWidth="1"/>
    <col min="4" max="6" width="15.7109375" customWidth="1"/>
    <col min="7" max="11" width="15.710937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159</v>
      </c>
      <c r="D5" s="13">
        <v>6.49</v>
      </c>
      <c r="E5" s="46">
        <v>1</v>
      </c>
      <c r="F5" t="s">
        <v>55</v>
      </c>
      <c r="G5" s="13">
        <f>IF(insumos[preço] &lt;&gt; "", insumos[[#This Row],[preço]] / IF(insumos[[#This Row],[medida]] = "unidades", insumos[[#This Row],[quantidade]], 1), "")</f>
        <v>6.49</v>
      </c>
      <c r="H5" s="13" t="str">
        <f>IFERROR(insumos[[#This Row],[preço]] / (insumos[quantidade] / IF(insumos[[#This Row],[medida]] = "Gramas", 1000, IF(insumos[[#This Row],[medida]] = "Quilos", 1, 0))), "")</f>
        <v/>
      </c>
      <c r="I5" s="45" t="str">
        <f>IFERROR(insumos[[#This Row],[preço]] / (insumos[quantidade] * IF(insumos[[#This Row],[medida]] = "Gramas", 1, IF(insumos[[#This Row],[medida]] = "Quilos", 1000, 0))), "")</f>
        <v/>
      </c>
      <c r="J5" s="45" t="str">
        <f>IFERROR(insumos[[#This Row],[preço]] / (insumos[quantidade] / IF(insumos[[#This Row],[medida]] = "ML", 1000, IF(insumos[[#This Row],[medida]] = "Litros", 1, 0))), "")</f>
        <v/>
      </c>
      <c r="K5" s="45" t="str">
        <f>IFERROR(insumos[[#This Row],[preço]] / (insumos[quantidade] * IF(insumos[[#This Row],[medida]] = "ML", 1, IF(insumos[[#This Row],[medida]] = "Litros", 1000, 0))), "")</f>
        <v/>
      </c>
    </row>
    <row r="6" spans="2:11">
      <c r="B6">
        <v>11</v>
      </c>
      <c r="C6" t="s">
        <v>7</v>
      </c>
      <c r="D6" s="13">
        <v>5</v>
      </c>
      <c r="E6" s="46">
        <v>1000</v>
      </c>
      <c r="F6" t="s">
        <v>58</v>
      </c>
      <c r="G6" s="13">
        <f>IF(insumos[preço] &lt;&gt; "", insumos[[#This Row],[preço]] / IF(insumos[[#This Row],[medida]] = "unidades", insumos[[#This Row],[quantidade]], 1), "")</f>
        <v>5</v>
      </c>
      <c r="H6" s="13">
        <f>IFERROR(insumos[[#This Row],[preço]] / (insumos[quantidade] / IF(insumos[[#This Row],[medida]] = "Gramas", 1000, IF(insumos[[#This Row],[medida]] = "Quilos", 1, 0))), "")</f>
        <v>5</v>
      </c>
      <c r="I6" s="45">
        <f>IFERROR(insumos[[#This Row],[preço]] / (insumos[quantidade] * IF(insumos[[#This Row],[medida]] = "Gramas", 1, IF(insumos[[#This Row],[medida]] = "Quilos", 1000, 0))), "")</f>
        <v>5.0000000000000001E-3</v>
      </c>
      <c r="J6" s="45" t="str">
        <f>IFERROR(insumos[[#This Row],[preço]] / (insumos[quantidade] / IF(insumos[[#This Row],[medida]] = "ML", 1000, IF(insumos[[#This Row],[medida]] = "Litros", 1, 0))), "")</f>
        <v/>
      </c>
      <c r="K6" s="45" t="str">
        <f>IFERROR(insumos[[#This Row],[preço]] / (insumos[quantidade] * IF(insumos[[#This Row],[medida]] = "ML", 1, IF(insumos[[#This Row],[medida]] = "Litros", 1000, 0))), "")</f>
        <v/>
      </c>
    </row>
    <row r="7" spans="2:11">
      <c r="B7">
        <v>6</v>
      </c>
      <c r="C7" t="s">
        <v>160</v>
      </c>
      <c r="D7" s="13">
        <v>2.99</v>
      </c>
      <c r="E7" s="46">
        <v>15</v>
      </c>
      <c r="F7" t="s">
        <v>55</v>
      </c>
      <c r="G7" s="13">
        <f>IF(insumos[preço] &lt;&gt; "", insumos[[#This Row],[preço]] / IF(insumos[[#This Row],[medida]] = "unidades", insumos[[#This Row],[quantidade]], 1), "")</f>
        <v>0.19933333333333333</v>
      </c>
      <c r="H7" s="13" t="str">
        <f>IFERROR(insumos[[#This Row],[preço]] / (insumos[quantidade] / IF(insumos[[#This Row],[medida]] = "Gramas", 1000, IF(insumos[[#This Row],[medida]] = "Quilos", 1, 0))), "")</f>
        <v/>
      </c>
      <c r="I7" s="45" t="str">
        <f>IFERROR(insumos[[#This Row],[preço]] / (insumos[quantidade] * IF(insumos[[#This Row],[medida]] = "Gramas", 1, IF(insumos[[#This Row],[medida]] = "Quilos", 1000, 0))), "")</f>
        <v/>
      </c>
      <c r="J7" s="45" t="str">
        <f>IFERROR(insumos[[#This Row],[preço]] / (insumos[quantidade] / IF(insumos[[#This Row],[medida]] = "ML", 1000, IF(insumos[[#This Row],[medida]] = "Litros", 1, 0))), "")</f>
        <v/>
      </c>
      <c r="K7" s="45" t="str">
        <f>IFERROR(insumos[[#This Row],[preço]] / (insumos[quantidade] * IF(insumos[[#This Row],[medida]] = "ML", 1, IF(insumos[[#This Row],[medida]] = "Litros", 1000, 0))), "")</f>
        <v/>
      </c>
    </row>
    <row r="8" spans="2:11">
      <c r="B8">
        <v>45</v>
      </c>
      <c r="C8" t="s">
        <v>214</v>
      </c>
      <c r="D8" s="13">
        <v>25</v>
      </c>
      <c r="E8" s="46">
        <v>1000</v>
      </c>
      <c r="F8" t="s">
        <v>58</v>
      </c>
      <c r="G8" s="13">
        <f>IF(insumos[preço] &lt;&gt; "", insumos[[#This Row],[preço]] / IF(insumos[[#This Row],[medida]] = "unidades", insumos[[#This Row],[quantidade]], 1), "")</f>
        <v>25</v>
      </c>
      <c r="H8" s="13">
        <f>IFERROR(insumos[[#This Row],[preço]] / (insumos[quantidade] / IF(insumos[[#This Row],[medida]] = "Gramas", 1000, IF(insumos[[#This Row],[medida]] = "Quilos", 1, 0))), "")</f>
        <v>25</v>
      </c>
      <c r="I8" s="45">
        <f>IFERROR(insumos[[#This Row],[preço]] / (insumos[quantidade] * IF(insumos[[#This Row],[medida]] = "Gramas", 1, IF(insumos[[#This Row],[medida]] = "Quilos", 1000, 0))), "")</f>
        <v>2.5000000000000001E-2</v>
      </c>
      <c r="J8" s="45" t="str">
        <f>IFERROR(insumos[[#This Row],[preço]] / (insumos[quantidade] / IF(insumos[[#This Row],[medida]] = "ML", 1000, IF(insumos[[#This Row],[medida]] = "Litros", 1, 0))), "")</f>
        <v/>
      </c>
      <c r="K8" s="45" t="str">
        <f>IFERROR(insumos[[#This Row],[preço]] / (insumos[quantidade] * IF(insumos[[#This Row],[medida]] = "ML", 1, IF(insumos[[#This Row],[medida]] = "Litros", 1000, 0))), "")</f>
        <v/>
      </c>
    </row>
    <row r="9" spans="2:11">
      <c r="B9">
        <v>35</v>
      </c>
      <c r="C9" t="s">
        <v>188</v>
      </c>
      <c r="D9" s="13">
        <v>4.09</v>
      </c>
      <c r="E9" s="46">
        <v>1</v>
      </c>
      <c r="F9" t="s">
        <v>55</v>
      </c>
      <c r="G9" s="13">
        <f>IF(insumos[preço] &lt;&gt; "", insumos[[#This Row],[preço]] / IF(insumos[[#This Row],[medida]] = "unidades", insumos[[#This Row],[quantidade]], 1), "")</f>
        <v>4.09</v>
      </c>
      <c r="H9" s="13" t="str">
        <f>IFERROR(insumos[[#This Row],[preço]] / (insumos[quantidade] / IF(insumos[[#This Row],[medida]] = "Gramas", 1000, IF(insumos[[#This Row],[medida]] = "Quilos", 1, 0))), "")</f>
        <v/>
      </c>
      <c r="I9" s="45" t="str">
        <f>IFERROR(insumos[[#This Row],[preço]] / (insumos[quantidade] * IF(insumos[[#This Row],[medida]] = "Gramas", 1, IF(insumos[[#This Row],[medida]] = "Quilos", 1000, 0))), "")</f>
        <v/>
      </c>
      <c r="J9" s="45" t="str">
        <f>IFERROR(insumos[[#This Row],[preço]] / (insumos[quantidade] / IF(insumos[[#This Row],[medida]] = "ML", 1000, IF(insumos[[#This Row],[medida]] = "Litros", 1, 0))), "")</f>
        <v/>
      </c>
      <c r="K9" s="45" t="str">
        <f>IFERROR(insumos[[#This Row],[preço]] / (insumos[quantidade] * IF(insumos[[#This Row],[medida]] = "ML", 1, IF(insumos[[#This Row],[medida]] = "Litros", 1000, 0))), "")</f>
        <v/>
      </c>
    </row>
    <row r="10" spans="2:11">
      <c r="B10">
        <v>44</v>
      </c>
      <c r="C10" t="s">
        <v>210</v>
      </c>
      <c r="D10" s="13">
        <v>19</v>
      </c>
      <c r="E10" s="46">
        <v>5000</v>
      </c>
      <c r="F10" t="s">
        <v>58</v>
      </c>
      <c r="G10" s="13">
        <f>IF(insumos[preço] &lt;&gt; "", insumos[[#This Row],[preço]] / IF(insumos[[#This Row],[medida]] = "unidades", insumos[[#This Row],[quantidade]], 1), "")</f>
        <v>19</v>
      </c>
      <c r="H10" s="13">
        <f>IFERROR(insumos[[#This Row],[preço]] / (insumos[quantidade] / IF(insumos[[#This Row],[medida]] = "Gramas", 1000, IF(insumos[[#This Row],[medida]] = "Quilos", 1, 0))), "")</f>
        <v>3.8</v>
      </c>
      <c r="I10" s="45">
        <f>IFERROR(insumos[[#This Row],[preço]] / (insumos[quantidade] * IF(insumos[[#This Row],[medida]] = "Gramas", 1, IF(insumos[[#This Row],[medida]] = "Quilos", 1000, 0))), "")</f>
        <v>3.8E-3</v>
      </c>
      <c r="J10" s="45" t="str">
        <f>IFERROR(insumos[[#This Row],[preço]] / (insumos[quantidade] / IF(insumos[[#This Row],[medida]] = "ML", 1000, IF(insumos[[#This Row],[medida]] = "Litros", 1, 0))), "")</f>
        <v/>
      </c>
      <c r="K10" s="45" t="str">
        <f>IFERROR(insumos[[#This Row],[preço]] / (insumos[quantidade] * IF(insumos[[#This Row],[medida]] = "ML", 1, IF(insumos[[#This Row],[medida]] = "Litros", 1000, 0))), "")</f>
        <v/>
      </c>
    </row>
    <row r="11" spans="2:11">
      <c r="B11">
        <v>51</v>
      </c>
      <c r="C11" t="s">
        <v>229</v>
      </c>
      <c r="D11" s="13">
        <v>15</v>
      </c>
      <c r="E11" s="46">
        <v>230</v>
      </c>
      <c r="F11" t="s">
        <v>58</v>
      </c>
      <c r="G11" s="13">
        <f>IF(insumos[preço] &lt;&gt; "", insumos[[#This Row],[preço]] / IF(insumos[[#This Row],[medida]] = "unidades", insumos[[#This Row],[quantidade]], 1), "")</f>
        <v>15</v>
      </c>
      <c r="H11" s="13">
        <f>IFERROR(insumos[[#This Row],[preço]] / (insumos[quantidade] / IF(insumos[[#This Row],[medida]] = "Gramas", 1000, IF(insumos[[#This Row],[medida]] = "Quilos", 1, 0))), "")</f>
        <v>65.217391304347828</v>
      </c>
      <c r="I11" s="45">
        <f>IFERROR(insumos[[#This Row],[preço]] / (insumos[quantidade] * IF(insumos[[#This Row],[medida]] = "Gramas", 1, IF(insumos[[#This Row],[medida]] = "Quilos", 1000, 0))), "")</f>
        <v>6.5217391304347824E-2</v>
      </c>
      <c r="J11" s="45" t="str">
        <f>IFERROR(insumos[[#This Row],[preço]] / (insumos[quantidade] / IF(insumos[[#This Row],[medida]] = "ML", 1000, IF(insumos[[#This Row],[medida]] = "Litros", 1, 0))), "")</f>
        <v/>
      </c>
      <c r="K11" s="45" t="str">
        <f>IFERROR(insumos[[#This Row],[preço]] / (insumos[quantidade] * IF(insumos[[#This Row],[medida]] = "ML", 1, IF(insumos[[#This Row],[medida]] = "Litros", 1000, 0))), "")</f>
        <v/>
      </c>
    </row>
    <row r="12" spans="2:11">
      <c r="B12">
        <v>10</v>
      </c>
      <c r="C12" t="s">
        <v>164</v>
      </c>
      <c r="D12" s="13">
        <v>51.29</v>
      </c>
      <c r="E12" s="46">
        <v>1000</v>
      </c>
      <c r="F12" t="s">
        <v>58</v>
      </c>
      <c r="G12" s="13">
        <f>IF(insumos[preço] &lt;&gt; "", insumos[[#This Row],[preço]] / IF(insumos[[#This Row],[medida]] = "unidades", insumos[[#This Row],[quantidade]], 1), "")</f>
        <v>51.29</v>
      </c>
      <c r="H12" s="13">
        <f>IFERROR(insumos[[#This Row],[preço]] / (insumos[quantidade] / IF(insumos[[#This Row],[medida]] = "Gramas", 1000, IF(insumos[[#This Row],[medida]] = "Quilos", 1, 0))), "")</f>
        <v>51.29</v>
      </c>
      <c r="I12" s="45">
        <f>IFERROR(insumos[[#This Row],[preço]] / (insumos[quantidade] * IF(insumos[[#This Row],[medida]] = "Gramas", 1, IF(insumos[[#This Row],[medida]] = "Quilos", 1000, 0))), "")</f>
        <v>5.1290000000000002E-2</v>
      </c>
      <c r="J12" s="45" t="str">
        <f>IFERROR(insumos[[#This Row],[preço]] / (insumos[quantidade] / IF(insumos[[#This Row],[medida]] = "ML", 1000, IF(insumos[[#This Row],[medida]] = "Litros", 1, 0))), "")</f>
        <v/>
      </c>
      <c r="K12" s="45" t="str">
        <f>IFERROR(insumos[[#This Row],[preço]] / (insumos[quantidade] * IF(insumos[[#This Row],[medida]] = "ML", 1, IF(insumos[[#This Row],[medida]] = "Litros", 1000, 0))), "")</f>
        <v/>
      </c>
    </row>
    <row r="13" spans="2:11">
      <c r="B13">
        <v>12</v>
      </c>
      <c r="C13" t="s">
        <v>165</v>
      </c>
      <c r="D13" s="13">
        <v>49.89</v>
      </c>
      <c r="E13" s="46">
        <v>3500</v>
      </c>
      <c r="F13" t="s">
        <v>58</v>
      </c>
      <c r="G13" s="13">
        <f>IF(insumos[preço] &lt;&gt; "", insumos[[#This Row],[preço]] / IF(insumos[[#This Row],[medida]] = "unidades", insumos[[#This Row],[quantidade]], 1), "")</f>
        <v>49.89</v>
      </c>
      <c r="H13" s="13">
        <f>IFERROR(insumos[[#This Row],[preço]] / (insumos[quantidade] / IF(insumos[[#This Row],[medida]] = "Gramas", 1000, IF(insumos[[#This Row],[medida]] = "Quilos", 1, 0))), "")</f>
        <v>14.254285714285714</v>
      </c>
      <c r="I13" s="45">
        <f>IFERROR(insumos[[#This Row],[preço]] / (insumos[quantidade] * IF(insumos[[#This Row],[medida]] = "Gramas", 1, IF(insumos[[#This Row],[medida]] = "Quilos", 1000, 0))), "")</f>
        <v>1.4254285714285714E-2</v>
      </c>
      <c r="J13" s="45" t="str">
        <f>IFERROR(insumos[[#This Row],[preço]] / (insumos[quantidade] / IF(insumos[[#This Row],[medida]] = "ML", 1000, IF(insumos[[#This Row],[medida]] = "Litros", 1, 0))), "")</f>
        <v/>
      </c>
      <c r="K13" s="45" t="str">
        <f>IFERROR(insumos[[#This Row],[preço]] / (insumos[quantidade] * IF(insumos[[#This Row],[medida]] = "ML", 1, IF(insumos[[#This Row],[medida]] = "Litros", 1000, 0))), "")</f>
        <v/>
      </c>
    </row>
    <row r="14" spans="2:11">
      <c r="B14">
        <v>21</v>
      </c>
      <c r="C14" t="s">
        <v>175</v>
      </c>
      <c r="D14" s="13">
        <v>29.9</v>
      </c>
      <c r="E14" s="46">
        <v>800</v>
      </c>
      <c r="F14" t="s">
        <v>58</v>
      </c>
      <c r="G14" s="13">
        <f>IF(insumos[preço] &lt;&gt; "", insumos[[#This Row],[preço]] / IF(insumos[[#This Row],[medida]] = "unidades", insumos[[#This Row],[quantidade]], 1), "")</f>
        <v>29.9</v>
      </c>
      <c r="H14" s="13">
        <f>IFERROR(insumos[[#This Row],[preço]] / (insumos[quantidade] / IF(insumos[[#This Row],[medida]] = "Gramas", 1000, IF(insumos[[#This Row],[medida]] = "Quilos", 1, 0))), "")</f>
        <v>37.374999999999993</v>
      </c>
      <c r="I14" s="45">
        <f>IFERROR(insumos[[#This Row],[preço]] / (insumos[quantidade] * IF(insumos[[#This Row],[medida]] = "Gramas", 1, IF(insumos[[#This Row],[medida]] = "Quilos", 1000, 0))), "")</f>
        <v>3.7374999999999999E-2</v>
      </c>
      <c r="J14" s="45" t="str">
        <f>IFERROR(insumos[[#This Row],[preço]] / (insumos[quantidade] / IF(insumos[[#This Row],[medida]] = "ML", 1000, IF(insumos[[#This Row],[medida]] = "Litros", 1, 0))), "")</f>
        <v/>
      </c>
      <c r="K14" s="45" t="str">
        <f>IFERROR(insumos[[#This Row],[preço]] / (insumos[quantidade] * IF(insumos[[#This Row],[medida]] = "ML", 1, IF(insumos[[#This Row],[medida]] = "Litros", 1000, 0))), "")</f>
        <v/>
      </c>
    </row>
    <row r="15" spans="2:11">
      <c r="B15">
        <v>34</v>
      </c>
      <c r="C15" t="s">
        <v>187</v>
      </c>
      <c r="D15" s="13">
        <v>3.99</v>
      </c>
      <c r="E15" s="46">
        <v>1</v>
      </c>
      <c r="F15" t="s">
        <v>55</v>
      </c>
      <c r="G15" s="13">
        <f>IF(insumos[preço] &lt;&gt; "", insumos[[#This Row],[preço]] / IF(insumos[[#This Row],[medida]] = "unidades", insumos[[#This Row],[quantidade]], 1), "")</f>
        <v>3.99</v>
      </c>
      <c r="H15" s="13" t="str">
        <f>IFERROR(insumos[[#This Row],[preço]] / (insumos[quantidade] / IF(insumos[[#This Row],[medida]] = "Gramas", 1000, IF(insumos[[#This Row],[medida]] = "Quilos", 1, 0))), "")</f>
        <v/>
      </c>
      <c r="I15" s="45" t="str">
        <f>IFERROR(insumos[[#This Row],[preço]] / (insumos[quantidade] * IF(insumos[[#This Row],[medida]] = "Gramas", 1, IF(insumos[[#This Row],[medida]] = "Quilos", 1000, 0))), "")</f>
        <v/>
      </c>
      <c r="J15" s="45" t="str">
        <f>IFERROR(insumos[[#This Row],[preço]] / (insumos[quantidade] / IF(insumos[[#This Row],[medida]] = "ML", 1000, IF(insumos[[#This Row],[medida]] = "Litros", 1, 0))), "")</f>
        <v/>
      </c>
      <c r="K15" s="45" t="str">
        <f>IFERROR(insumos[[#This Row],[preço]] / (insumos[quantidade] * IF(insumos[[#This Row],[medida]] = "ML", 1, IF(insumos[[#This Row],[medida]] = "Litros", 1000, 0))), "")</f>
        <v/>
      </c>
    </row>
    <row r="16" spans="2:11">
      <c r="B16">
        <v>24</v>
      </c>
      <c r="C16" t="s">
        <v>177</v>
      </c>
      <c r="D16" s="13">
        <v>32.9</v>
      </c>
      <c r="E16" s="46">
        <v>4000</v>
      </c>
      <c r="F16" t="s">
        <v>58</v>
      </c>
      <c r="G16" s="13">
        <f>IF(insumos[preço] &lt;&gt; "", insumos[[#This Row],[preço]] / IF(insumos[[#This Row],[medida]] = "unidades", insumos[[#This Row],[quantidade]], 1), "")</f>
        <v>32.9</v>
      </c>
      <c r="H16" s="13">
        <f>IFERROR(insumos[[#This Row],[preço]] / (insumos[quantidade] / IF(insumos[[#This Row],[medida]] = "Gramas", 1000, IF(insumos[[#This Row],[medida]] = "Quilos", 1, 0))), "")</f>
        <v>8.2249999999999996</v>
      </c>
      <c r="I16" s="45">
        <f>IFERROR(insumos[[#This Row],[preço]] / (insumos[quantidade] * IF(insumos[[#This Row],[medida]] = "Gramas", 1, IF(insumos[[#This Row],[medida]] = "Quilos", 1000, 0))), "")</f>
        <v>8.2249999999999997E-3</v>
      </c>
      <c r="J16" s="45" t="str">
        <f>IFERROR(insumos[[#This Row],[preço]] / (insumos[quantidade] / IF(insumos[[#This Row],[medida]] = "ML", 1000, IF(insumos[[#This Row],[medida]] = "Litros", 1, 0))), "")</f>
        <v/>
      </c>
      <c r="K16" s="45" t="str">
        <f>IFERROR(insumos[[#This Row],[preço]] / (insumos[quantidade] * IF(insumos[[#This Row],[medida]] = "ML", 1, IF(insumos[[#This Row],[medida]] = "Litros", 1000, 0))), "")</f>
        <v/>
      </c>
    </row>
    <row r="17" spans="2:11">
      <c r="B17">
        <v>1</v>
      </c>
      <c r="C17" t="s">
        <v>155</v>
      </c>
      <c r="D17" s="13">
        <v>3.79</v>
      </c>
      <c r="E17" s="46">
        <v>1000</v>
      </c>
      <c r="F17" t="s">
        <v>58</v>
      </c>
      <c r="G17" s="13">
        <f>IF(insumos[preço] &lt;&gt; "", insumos[[#This Row],[preço]] / IF(insumos[[#This Row],[medida]] = "unidades", insumos[[#This Row],[quantidade]], 1), "")</f>
        <v>3.79</v>
      </c>
      <c r="H17" s="13">
        <f>IFERROR(insumos[[#This Row],[preço]] / (insumos[quantidade] / IF(insumos[[#This Row],[medida]] = "Gramas", 1000, IF(insumos[[#This Row],[medida]] = "Quilos", 1, 0))), "")</f>
        <v>3.79</v>
      </c>
      <c r="I17" s="45">
        <f>IFERROR(insumos[[#This Row],[preço]] / (insumos[quantidade] * IF(insumos[[#This Row],[medida]] = "Gramas", 1, IF(insumos[[#This Row],[medida]] = "Quilos", 1000, 0))), "")</f>
        <v>3.79E-3</v>
      </c>
      <c r="J17" s="45" t="str">
        <f>IFERROR(insumos[[#This Row],[preço]] / (insumos[quantidade] / IF(insumos[[#This Row],[medida]] = "ML", 1000, IF(insumos[[#This Row],[medida]] = "Litros", 1, 0))), "")</f>
        <v/>
      </c>
      <c r="K17" s="45" t="str">
        <f>IFERROR(insumos[[#This Row],[preço]] / (insumos[quantidade] * IF(insumos[[#This Row],[medida]] = "ML", 1, IF(insumos[[#This Row],[medida]] = "Litros", 1000, 0))), "")</f>
        <v/>
      </c>
    </row>
    <row r="18" spans="2:11">
      <c r="B18">
        <v>8</v>
      </c>
      <c r="C18" t="s">
        <v>162</v>
      </c>
      <c r="D18" s="13">
        <v>6.79</v>
      </c>
      <c r="E18" s="46">
        <v>60</v>
      </c>
      <c r="F18" t="s">
        <v>55</v>
      </c>
      <c r="G18" s="13">
        <f>IF(insumos[preço] &lt;&gt; "", insumos[[#This Row],[preço]] / IF(insumos[[#This Row],[medida]] = "unidades", insumos[[#This Row],[quantidade]], 1), "")</f>
        <v>0.11316666666666667</v>
      </c>
      <c r="H18" s="13" t="str">
        <f>IFERROR(insumos[[#This Row],[preço]] / (insumos[quantidade] / IF(insumos[[#This Row],[medida]] = "Gramas", 1000, IF(insumos[[#This Row],[medida]] = "Quilos", 1, 0))), "")</f>
        <v/>
      </c>
      <c r="I18" s="45" t="str">
        <f>IFERROR(insumos[[#This Row],[preço]] / (insumos[quantidade] * IF(insumos[[#This Row],[medida]] = "Gramas", 1, IF(insumos[[#This Row],[medida]] = "Quilos", 1000, 0))), "")</f>
        <v/>
      </c>
      <c r="J18" s="45" t="str">
        <f>IFERROR(insumos[[#This Row],[preço]] / (insumos[quantidade] / IF(insumos[[#This Row],[medida]] = "ML", 1000, IF(insumos[[#This Row],[medida]] = "Litros", 1, 0))), "")</f>
        <v/>
      </c>
      <c r="K18" s="45" t="str">
        <f>IFERROR(insumos[[#This Row],[preço]] / (insumos[quantidade] * IF(insumos[[#This Row],[medida]] = "ML", 1, IF(insumos[[#This Row],[medida]] = "Litros", 1000, 0))), "")</f>
        <v/>
      </c>
    </row>
    <row r="19" spans="2:11">
      <c r="B19">
        <v>47</v>
      </c>
      <c r="C19" t="s">
        <v>223</v>
      </c>
      <c r="D19" s="13">
        <v>69.900000000000006</v>
      </c>
      <c r="E19" s="46">
        <v>5000</v>
      </c>
      <c r="F19" t="s">
        <v>58</v>
      </c>
      <c r="G19" s="13">
        <f>IF(insumos[preço] &lt;&gt; "", insumos[[#This Row],[preço]] / IF(insumos[[#This Row],[medida]] = "unidades", insumos[[#This Row],[quantidade]], 1), "")</f>
        <v>69.900000000000006</v>
      </c>
      <c r="H19" s="13">
        <f>IFERROR(insumos[[#This Row],[preço]] / (insumos[quantidade] / IF(insumos[[#This Row],[medida]] = "Gramas", 1000, IF(insumos[[#This Row],[medida]] = "Quilos", 1, 0))), "")</f>
        <v>13.98</v>
      </c>
      <c r="I19" s="45">
        <f>IFERROR(insumos[[#This Row],[preço]] / (insumos[quantidade] * IF(insumos[[#This Row],[medida]] = "Gramas", 1, IF(insumos[[#This Row],[medida]] = "Quilos", 1000, 0))), "")</f>
        <v>1.3980000000000001E-2</v>
      </c>
      <c r="J19" s="45" t="str">
        <f>IFERROR(insumos[[#This Row],[preço]] / (insumos[quantidade] / IF(insumos[[#This Row],[medida]] = "ML", 1000, IF(insumos[[#This Row],[medida]] = "Litros", 1, 0))), "")</f>
        <v/>
      </c>
      <c r="K19" s="45" t="str">
        <f>IFERROR(insumos[[#This Row],[preço]] / (insumos[quantidade] * IF(insumos[[#This Row],[medida]] = "ML", 1, IF(insumos[[#This Row],[medida]] = "Litros", 1000, 0))), "")</f>
        <v/>
      </c>
    </row>
    <row r="20" spans="2:11">
      <c r="B20">
        <v>28</v>
      </c>
      <c r="C20" t="s">
        <v>181</v>
      </c>
      <c r="D20" s="13">
        <v>11.19</v>
      </c>
      <c r="E20" s="46">
        <v>1</v>
      </c>
      <c r="F20" t="s">
        <v>55</v>
      </c>
      <c r="G20" s="13">
        <f>IF(insumos[preço] &lt;&gt; "", insumos[[#This Row],[preço]] / IF(insumos[[#This Row],[medida]] = "unidades", insumos[[#This Row],[quantidade]], 1), "")</f>
        <v>11.19</v>
      </c>
      <c r="H20" s="13" t="str">
        <f>IFERROR(insumos[[#This Row],[preço]] / (insumos[quantidade] / IF(insumos[[#This Row],[medida]] = "Gramas", 1000, IF(insumos[[#This Row],[medida]] = "Quilos", 1, 0))), "")</f>
        <v/>
      </c>
      <c r="I20" s="45" t="str">
        <f>IFERROR(insumos[[#This Row],[preço]] / (insumos[quantidade] * IF(insumos[[#This Row],[medida]] = "Gramas", 1, IF(insumos[[#This Row],[medida]] = "Quilos", 1000, 0))), "")</f>
        <v/>
      </c>
      <c r="J20" s="45" t="str">
        <f>IFERROR(insumos[[#This Row],[preço]] / (insumos[quantidade] / IF(insumos[[#This Row],[medida]] = "ML", 1000, IF(insumos[[#This Row],[medida]] = "Litros", 1, 0))), "")</f>
        <v/>
      </c>
      <c r="K20" s="45" t="str">
        <f>IFERROR(insumos[[#This Row],[preço]] / (insumos[quantidade] * IF(insumos[[#This Row],[medida]] = "ML", 1, IF(insumos[[#This Row],[medida]] = "Litros", 1000, 0))), "")</f>
        <v/>
      </c>
    </row>
    <row r="21" spans="2:11">
      <c r="B21">
        <v>29</v>
      </c>
      <c r="C21" t="s">
        <v>182</v>
      </c>
      <c r="D21" s="13">
        <v>3.19</v>
      </c>
      <c r="E21" s="46">
        <v>1</v>
      </c>
      <c r="F21" t="s">
        <v>55</v>
      </c>
      <c r="G21" s="13">
        <f>IF(insumos[preço] &lt;&gt; "", insumos[[#This Row],[preço]] / IF(insumos[[#This Row],[medida]] = "unidades", insumos[[#This Row],[quantidade]], 1), "")</f>
        <v>3.19</v>
      </c>
      <c r="H21" s="13" t="str">
        <f>IFERROR(insumos[[#This Row],[preço]] / (insumos[quantidade] / IF(insumos[[#This Row],[medida]] = "Gramas", 1000, IF(insumos[[#This Row],[medida]] = "Quilos", 1, 0))), "")</f>
        <v/>
      </c>
      <c r="I21" s="45" t="str">
        <f>IFERROR(insumos[[#This Row],[preço]] / (insumos[quantidade] * IF(insumos[[#This Row],[medida]] = "Gramas", 1, IF(insumos[[#This Row],[medida]] = "Quilos", 1000, 0))), "")</f>
        <v/>
      </c>
      <c r="J21" s="45" t="str">
        <f>IFERROR(insumos[[#This Row],[preço]] / (insumos[quantidade] / IF(insumos[[#This Row],[medida]] = "ML", 1000, IF(insumos[[#This Row],[medida]] = "Litros", 1, 0))), "")</f>
        <v/>
      </c>
      <c r="K21" s="45" t="str">
        <f>IFERROR(insumos[[#This Row],[preço]] / (insumos[quantidade] * IF(insumos[[#This Row],[medida]] = "ML", 1, IF(insumos[[#This Row],[medida]] = "Litros", 1000, 0))), "")</f>
        <v/>
      </c>
    </row>
    <row r="22" spans="2:11">
      <c r="B22">
        <v>38</v>
      </c>
      <c r="C22" t="s">
        <v>191</v>
      </c>
      <c r="D22" s="13">
        <v>5.49</v>
      </c>
      <c r="E22" s="46">
        <v>1</v>
      </c>
      <c r="F22" t="s">
        <v>55</v>
      </c>
      <c r="G22" s="13">
        <f>IF(insumos[preço] &lt;&gt; "", insumos[[#This Row],[preço]] / IF(insumos[[#This Row],[medida]] = "unidades", insumos[[#This Row],[quantidade]], 1), "")</f>
        <v>5.49</v>
      </c>
      <c r="H22" s="13" t="str">
        <f>IFERROR(insumos[[#This Row],[preço]] / (insumos[quantidade] / IF(insumos[[#This Row],[medida]] = "Gramas", 1000, IF(insumos[[#This Row],[medida]] = "Quilos", 1, 0))), "")</f>
        <v/>
      </c>
      <c r="I22" s="45" t="str">
        <f>IFERROR(insumos[[#This Row],[preço]] / (insumos[quantidade] * IF(insumos[[#This Row],[medida]] = "Gramas", 1, IF(insumos[[#This Row],[medida]] = "Quilos", 1000, 0))), "")</f>
        <v/>
      </c>
      <c r="J22" s="45" t="str">
        <f>IFERROR(insumos[[#This Row],[preço]] / (insumos[quantidade] / IF(insumos[[#This Row],[medida]] = "ML", 1000, IF(insumos[[#This Row],[medida]] = "Litros", 1, 0))), "")</f>
        <v/>
      </c>
      <c r="K22" s="45" t="str">
        <f>IFERROR(insumos[[#This Row],[preço]] / (insumos[quantidade] * IF(insumos[[#This Row],[medida]] = "ML", 1, IF(insumos[[#This Row],[medida]] = "Litros", 1000, 0))), "")</f>
        <v/>
      </c>
    </row>
    <row r="23" spans="2:11">
      <c r="B23">
        <v>30</v>
      </c>
      <c r="C23" t="s">
        <v>183</v>
      </c>
      <c r="D23" s="13">
        <v>3.89</v>
      </c>
      <c r="E23" s="46">
        <v>1</v>
      </c>
      <c r="F23" t="s">
        <v>55</v>
      </c>
      <c r="G23" s="13">
        <f>IF(insumos[preço] &lt;&gt; "", insumos[[#This Row],[preço]] / IF(insumos[[#This Row],[medida]] = "unidades", insumos[[#This Row],[quantidade]], 1), "")</f>
        <v>3.89</v>
      </c>
      <c r="H23" s="13" t="str">
        <f>IFERROR(insumos[[#This Row],[preço]] / (insumos[quantidade] / IF(insumos[[#This Row],[medida]] = "Gramas", 1000, IF(insumos[[#This Row],[medida]] = "Quilos", 1, 0))), "")</f>
        <v/>
      </c>
      <c r="I23" s="45" t="str">
        <f>IFERROR(insumos[[#This Row],[preço]] / (insumos[quantidade] * IF(insumos[[#This Row],[medida]] = "Gramas", 1, IF(insumos[[#This Row],[medida]] = "Quilos", 1000, 0))), "")</f>
        <v/>
      </c>
      <c r="J23" s="45" t="str">
        <f>IFERROR(insumos[[#This Row],[preço]] / (insumos[quantidade] / IF(insumos[[#This Row],[medida]] = "ML", 1000, IF(insumos[[#This Row],[medida]] = "Litros", 1, 0))), "")</f>
        <v/>
      </c>
      <c r="K23" s="45" t="str">
        <f>IFERROR(insumos[[#This Row],[preço]] / (insumos[quantidade] * IF(insumos[[#This Row],[medida]] = "ML", 1, IF(insumos[[#This Row],[medida]] = "Litros", 1000, 0))), "")</f>
        <v/>
      </c>
    </row>
    <row r="24" spans="2:11">
      <c r="B24">
        <v>22</v>
      </c>
      <c r="C24" t="s">
        <v>80</v>
      </c>
      <c r="D24" s="13">
        <v>3.59</v>
      </c>
      <c r="E24" s="46">
        <v>200</v>
      </c>
      <c r="F24" t="s">
        <v>58</v>
      </c>
      <c r="G24" s="13">
        <f>IF(insumos[preço] &lt;&gt; "", insumos[[#This Row],[preço]] / IF(insumos[[#This Row],[medida]] = "unidades", insumos[[#This Row],[quantidade]], 1), "")</f>
        <v>3.59</v>
      </c>
      <c r="H24" s="13">
        <f>IFERROR(insumos[[#This Row],[preço]] / (insumos[quantidade] / IF(insumos[[#This Row],[medida]] = "Gramas", 1000, IF(insumos[[#This Row],[medida]] = "Quilos", 1, 0))), "")</f>
        <v>17.95</v>
      </c>
      <c r="I24" s="45">
        <f>IFERROR(insumos[[#This Row],[preço]] / (insumos[quantidade] * IF(insumos[[#This Row],[medida]] = "Gramas", 1, IF(insumos[[#This Row],[medida]] = "Quilos", 1000, 0))), "")</f>
        <v>1.7950000000000001E-2</v>
      </c>
      <c r="J24" s="45" t="str">
        <f>IFERROR(insumos[[#This Row],[preço]] / (insumos[quantidade] / IF(insumos[[#This Row],[medida]] = "ML", 1000, IF(insumos[[#This Row],[medida]] = "Litros", 1, 0))), "")</f>
        <v/>
      </c>
      <c r="K24" s="45" t="str">
        <f>IFERROR(insumos[[#This Row],[preço]] / (insumos[quantidade] * IF(insumos[[#This Row],[medida]] = "ML", 1, IF(insumos[[#This Row],[medida]] = "Litros", 1000, 0))), "")</f>
        <v/>
      </c>
    </row>
    <row r="25" spans="2:11">
      <c r="B25">
        <v>41</v>
      </c>
      <c r="C25" t="s">
        <v>194</v>
      </c>
      <c r="D25" s="13">
        <v>44</v>
      </c>
      <c r="E25" s="46">
        <v>10</v>
      </c>
      <c r="F25" t="s">
        <v>55</v>
      </c>
      <c r="G25" s="13">
        <f>IF(insumos[preço] &lt;&gt; "", insumos[[#This Row],[preço]] / IF(insumos[[#This Row],[medida]] = "unidades", insumos[[#This Row],[quantidade]], 1), "")</f>
        <v>4.4000000000000004</v>
      </c>
      <c r="H25" s="13" t="str">
        <f>IFERROR(insumos[[#This Row],[preço]] / (insumos[quantidade] / IF(insumos[[#This Row],[medida]] = "Gramas", 1000, IF(insumos[[#This Row],[medida]] = "Quilos", 1, 0))), "")</f>
        <v/>
      </c>
      <c r="I25" s="45" t="str">
        <f>IFERROR(insumos[[#This Row],[preço]] / (insumos[quantidade] * IF(insumos[[#This Row],[medida]] = "Gramas", 1, IF(insumos[[#This Row],[medida]] = "Quilos", 1000, 0))), "")</f>
        <v/>
      </c>
      <c r="J25" s="45" t="str">
        <f>IFERROR(insumos[[#This Row],[preço]] / (insumos[quantidade] / IF(insumos[[#This Row],[medida]] = "ML", 1000, IF(insumos[[#This Row],[medida]] = "Litros", 1, 0))), "")</f>
        <v/>
      </c>
      <c r="K25" s="45" t="str">
        <f>IFERROR(insumos[[#This Row],[preço]] / (insumos[quantidade] * IF(insumos[[#This Row],[medida]] = "ML", 1, IF(insumos[[#This Row],[medida]] = "Litros", 1000, 0))), "")</f>
        <v/>
      </c>
    </row>
    <row r="26" spans="2:11">
      <c r="B26">
        <v>112</v>
      </c>
      <c r="C26" t="s">
        <v>234</v>
      </c>
      <c r="D26" s="13">
        <v>18</v>
      </c>
      <c r="E26" s="46">
        <v>4</v>
      </c>
      <c r="F26" t="s">
        <v>55</v>
      </c>
      <c r="G26" s="13">
        <f>IF(insumos[preço] &lt;&gt; "", insumos[[#This Row],[preço]] / IF(insumos[[#This Row],[medida]] = "unidades", insumos[[#This Row],[quantidade]], 1), "")</f>
        <v>4.5</v>
      </c>
      <c r="H26" s="13" t="str">
        <f>IFERROR(insumos[[#This Row],[preço]] / (insumos[quantidade] / IF(insumos[[#This Row],[medida]] = "Gramas", 1000, IF(insumos[[#This Row],[medida]] = "Quilos", 1, 0))), "")</f>
        <v/>
      </c>
      <c r="I26" s="52" t="str">
        <f>IFERROR(insumos[[#This Row],[preço]] / (insumos[quantidade] * IF(insumos[[#This Row],[medida]] = "Gramas", 1, IF(insumos[[#This Row],[medida]] = "Quilos", 1000, 0))), "")</f>
        <v/>
      </c>
      <c r="J26" s="52" t="str">
        <f>IFERROR(insumos[[#This Row],[preço]] / (insumos[quantidade] / IF(insumos[[#This Row],[medida]] = "ML", 1000, IF(insumos[[#This Row],[medida]] = "Litros", 1, 0))), "")</f>
        <v/>
      </c>
      <c r="K26" s="52" t="str">
        <f>IFERROR(insumos[[#This Row],[preço]] / (insumos[quantidade] * IF(insumos[[#This Row],[medida]] = "ML", 1, IF(insumos[[#This Row],[medida]] = "Litros", 1000, 0))), "")</f>
        <v/>
      </c>
    </row>
    <row r="27" spans="2:11">
      <c r="B27">
        <v>117</v>
      </c>
      <c r="C27" t="s">
        <v>239</v>
      </c>
      <c r="D27" s="13">
        <v>55</v>
      </c>
      <c r="E27" s="46">
        <v>1000</v>
      </c>
      <c r="F27" t="s">
        <v>58</v>
      </c>
      <c r="G27" s="13">
        <f>IF(insumos[preço] &lt;&gt; "", insumos[[#This Row],[preço]] / IF(insumos[[#This Row],[medida]] = "unidades", insumos[[#This Row],[quantidade]], 1), "")</f>
        <v>55</v>
      </c>
      <c r="H27" s="13">
        <f>IFERROR(insumos[[#This Row],[preço]] / (insumos[quantidade] / IF(insumos[[#This Row],[medida]] = "Gramas", 1000, IF(insumos[[#This Row],[medida]] = "Quilos", 1, 0))), "")</f>
        <v>55</v>
      </c>
      <c r="I27" s="52">
        <f>IFERROR(insumos[[#This Row],[preço]] / (insumos[quantidade] * IF(insumos[[#This Row],[medida]] = "Gramas", 1, IF(insumos[[#This Row],[medida]] = "Quilos", 1000, 0))), "")</f>
        <v>5.5E-2</v>
      </c>
      <c r="J27" s="52" t="str">
        <f>IFERROR(insumos[[#This Row],[preço]] / (insumos[quantidade] / IF(insumos[[#This Row],[medida]] = "ML", 1000, IF(insumos[[#This Row],[medida]] = "Litros", 1, 0))), "")</f>
        <v/>
      </c>
      <c r="K27" s="52" t="str">
        <f>IFERROR(insumos[[#This Row],[preço]] / (insumos[quantidade] * IF(insumos[[#This Row],[medida]] = "ML", 1, IF(insumos[[#This Row],[medida]] = "Litros", 1000, 0))), "")</f>
        <v/>
      </c>
    </row>
    <row r="28" spans="2:11">
      <c r="B28">
        <v>114</v>
      </c>
      <c r="C28" t="s">
        <v>236</v>
      </c>
      <c r="D28" s="13">
        <v>27.5</v>
      </c>
      <c r="E28" s="46">
        <v>5</v>
      </c>
      <c r="F28" t="s">
        <v>55</v>
      </c>
      <c r="G28" s="13">
        <f>IF(insumos[preço] &lt;&gt; "", insumos[[#This Row],[preço]] / IF(insumos[[#This Row],[medida]] = "unidades", insumos[[#This Row],[quantidade]], 1), "")</f>
        <v>5.5</v>
      </c>
      <c r="H28" s="13" t="str">
        <f>IFERROR(insumos[[#This Row],[preço]] / (insumos[quantidade] / IF(insumos[[#This Row],[medida]] = "Gramas", 1000, IF(insumos[[#This Row],[medida]] = "Quilos", 1, 0))), "")</f>
        <v/>
      </c>
      <c r="I28" s="52" t="str">
        <f>IFERROR(insumos[[#This Row],[preço]] / (insumos[quantidade] * IF(insumos[[#This Row],[medida]] = "Gramas", 1, IF(insumos[[#This Row],[medida]] = "Quilos", 1000, 0))), "")</f>
        <v/>
      </c>
      <c r="J28" s="52" t="str">
        <f>IFERROR(insumos[[#This Row],[preço]] / (insumos[quantidade] / IF(insumos[[#This Row],[medida]] = "ML", 1000, IF(insumos[[#This Row],[medida]] = "Litros", 1, 0))), "")</f>
        <v/>
      </c>
      <c r="K28" s="52" t="str">
        <f>IFERROR(insumos[[#This Row],[preço]] / (insumos[quantidade] * IF(insumos[[#This Row],[medida]] = "ML", 1, IF(insumos[[#This Row],[medida]] = "Litros", 1000, 0))), "")</f>
        <v/>
      </c>
    </row>
    <row r="29" spans="2:11">
      <c r="B29">
        <v>108</v>
      </c>
      <c r="C29" t="s">
        <v>230</v>
      </c>
      <c r="D29" s="13">
        <v>46</v>
      </c>
      <c r="E29" s="46">
        <v>10</v>
      </c>
      <c r="F29" t="s">
        <v>55</v>
      </c>
      <c r="G29" s="13">
        <f>IF(insumos[preço] &lt;&gt; "", insumos[[#This Row],[preço]] / IF(insumos[[#This Row],[medida]] = "unidades", insumos[[#This Row],[quantidade]], 1), "")</f>
        <v>4.5999999999999996</v>
      </c>
      <c r="H29" s="13" t="str">
        <f>IFERROR(insumos[[#This Row],[preço]] / (insumos[quantidade] / IF(insumos[[#This Row],[medida]] = "Gramas", 1000, IF(insumos[[#This Row],[medida]] = "Quilos", 1, 0))), "")</f>
        <v/>
      </c>
      <c r="I29" s="52" t="str">
        <f>IFERROR(insumos[[#This Row],[preço]] / (insumos[quantidade] * IF(insumos[[#This Row],[medida]] = "Gramas", 1, IF(insumos[[#This Row],[medida]] = "Quilos", 1000, 0))), "")</f>
        <v/>
      </c>
      <c r="J29" s="52" t="str">
        <f>IFERROR(insumos[[#This Row],[preço]] / (insumos[quantidade] / IF(insumos[[#This Row],[medida]] = "ML", 1000, IF(insumos[[#This Row],[medida]] = "Litros", 1, 0))), "")</f>
        <v/>
      </c>
      <c r="K29" s="52" t="str">
        <f>IFERROR(insumos[[#This Row],[preço]] / (insumos[quantidade] * IF(insumos[[#This Row],[medida]] = "ML", 1, IF(insumos[[#This Row],[medida]] = "Litros", 1000, 0))), "")</f>
        <v/>
      </c>
    </row>
    <row r="30" spans="2:11">
      <c r="B30">
        <v>109</v>
      </c>
      <c r="C30" t="s">
        <v>231</v>
      </c>
      <c r="D30" s="13">
        <v>22.8</v>
      </c>
      <c r="E30" s="46">
        <v>6</v>
      </c>
      <c r="F30" t="s">
        <v>55</v>
      </c>
      <c r="G30" s="13">
        <f>IF(insumos[preço] &lt;&gt; "", insumos[[#This Row],[preço]] / IF(insumos[[#This Row],[medida]] = "unidades", insumos[[#This Row],[quantidade]], 1), "")</f>
        <v>3.8000000000000003</v>
      </c>
      <c r="H30" s="13" t="str">
        <f>IFERROR(insumos[[#This Row],[preço]] / (insumos[quantidade] / IF(insumos[[#This Row],[medida]] = "Gramas", 1000, IF(insumos[[#This Row],[medida]] = "Quilos", 1, 0))), "")</f>
        <v/>
      </c>
      <c r="I30" s="52" t="str">
        <f>IFERROR(insumos[[#This Row],[preço]] / (insumos[quantidade] * IF(insumos[[#This Row],[medida]] = "Gramas", 1, IF(insumos[[#This Row],[medida]] = "Quilos", 1000, 0))), "")</f>
        <v/>
      </c>
      <c r="J30" s="52" t="str">
        <f>IFERROR(insumos[[#This Row],[preço]] / (insumos[quantidade] / IF(insumos[[#This Row],[medida]] = "ML", 1000, IF(insumos[[#This Row],[medida]] = "Litros", 1, 0))), "")</f>
        <v/>
      </c>
      <c r="K30" s="52" t="str">
        <f>IFERROR(insumos[[#This Row],[preço]] / (insumos[quantidade] * IF(insumos[[#This Row],[medida]] = "ML", 1, IF(insumos[[#This Row],[medida]] = "Litros", 1000, 0))), "")</f>
        <v/>
      </c>
    </row>
    <row r="31" spans="2:11">
      <c r="B31">
        <v>113</v>
      </c>
      <c r="C31" t="s">
        <v>235</v>
      </c>
      <c r="D31" s="13">
        <v>22.5</v>
      </c>
      <c r="E31" s="46">
        <v>5</v>
      </c>
      <c r="F31" t="s">
        <v>55</v>
      </c>
      <c r="G31" s="13">
        <f>IF(insumos[preço] &lt;&gt; "", insumos[[#This Row],[preço]] / IF(insumos[[#This Row],[medida]] = "unidades", insumos[[#This Row],[quantidade]], 1), "")</f>
        <v>4.5</v>
      </c>
      <c r="H31" s="13" t="str">
        <f>IFERROR(insumos[[#This Row],[preço]] / (insumos[quantidade] / IF(insumos[[#This Row],[medida]] = "Gramas", 1000, IF(insumos[[#This Row],[medida]] = "Quilos", 1, 0))), "")</f>
        <v/>
      </c>
      <c r="I31" s="52" t="str">
        <f>IFERROR(insumos[[#This Row],[preço]] / (insumos[quantidade] * IF(insumos[[#This Row],[medida]] = "Gramas", 1, IF(insumos[[#This Row],[medida]] = "Quilos", 1000, 0))), "")</f>
        <v/>
      </c>
      <c r="J31" s="52" t="str">
        <f>IFERROR(insumos[[#This Row],[preço]] / (insumos[quantidade] / IF(insumos[[#This Row],[medida]] = "ML", 1000, IF(insumos[[#This Row],[medida]] = "Litros", 1, 0))), "")</f>
        <v/>
      </c>
      <c r="K31" s="52" t="str">
        <f>IFERROR(insumos[[#This Row],[preço]] / (insumos[quantidade] * IF(insumos[[#This Row],[medida]] = "ML", 1, IF(insumos[[#This Row],[medida]] = "Litros", 1000, 0))), "")</f>
        <v/>
      </c>
    </row>
    <row r="32" spans="2:11">
      <c r="B32">
        <v>110</v>
      </c>
      <c r="C32" t="s">
        <v>232</v>
      </c>
      <c r="D32" s="13">
        <v>19</v>
      </c>
      <c r="E32" s="46">
        <v>5</v>
      </c>
      <c r="F32" t="s">
        <v>55</v>
      </c>
      <c r="G32" s="13">
        <f>IF(insumos[preço] &lt;&gt; "", insumos[[#This Row],[preço]] / IF(insumos[[#This Row],[medida]] = "unidades", insumos[[#This Row],[quantidade]], 1), "")</f>
        <v>3.8</v>
      </c>
      <c r="H32" s="13" t="str">
        <f>IFERROR(insumos[[#This Row],[preço]] / (insumos[quantidade] / IF(insumos[[#This Row],[medida]] = "Gramas", 1000, IF(insumos[[#This Row],[medida]] = "Quilos", 1, 0))), "")</f>
        <v/>
      </c>
      <c r="I32" s="52" t="str">
        <f>IFERROR(insumos[[#This Row],[preço]] / (insumos[quantidade] * IF(insumos[[#This Row],[medida]] = "Gramas", 1, IF(insumos[[#This Row],[medida]] = "Quilos", 1000, 0))), "")</f>
        <v/>
      </c>
      <c r="J32" s="52" t="str">
        <f>IFERROR(insumos[[#This Row],[preço]] / (insumos[quantidade] / IF(insumos[[#This Row],[medida]] = "ML", 1000, IF(insumos[[#This Row],[medida]] = "Litros", 1, 0))), "")</f>
        <v/>
      </c>
      <c r="K32" s="52" t="str">
        <f>IFERROR(insumos[[#This Row],[preço]] / (insumos[quantidade] * IF(insumos[[#This Row],[medida]] = "ML", 1, IF(insumos[[#This Row],[medida]] = "Litros", 1000, 0))), "")</f>
        <v/>
      </c>
    </row>
    <row r="33" spans="2:11">
      <c r="B33">
        <v>115</v>
      </c>
      <c r="C33" t="s">
        <v>237</v>
      </c>
      <c r="D33" s="13">
        <v>32.5</v>
      </c>
      <c r="E33" s="46">
        <v>4</v>
      </c>
      <c r="F33" t="s">
        <v>55</v>
      </c>
      <c r="G33" s="13">
        <f>IF(insumos[preço] &lt;&gt; "", insumos[[#This Row],[preço]] / IF(insumos[[#This Row],[medida]] = "unidades", insumos[[#This Row],[quantidade]], 1), "")</f>
        <v>8.125</v>
      </c>
      <c r="H33" s="13" t="str">
        <f>IFERROR(insumos[[#This Row],[preço]] / (insumos[quantidade] / IF(insumos[[#This Row],[medida]] = "Gramas", 1000, IF(insumos[[#This Row],[medida]] = "Quilos", 1, 0))), "")</f>
        <v/>
      </c>
      <c r="I33" s="52" t="str">
        <f>IFERROR(insumos[[#This Row],[preço]] / (insumos[quantidade] * IF(insumos[[#This Row],[medida]] = "Gramas", 1, IF(insumos[[#This Row],[medida]] = "Quilos", 1000, 0))), "")</f>
        <v/>
      </c>
      <c r="J33" s="52" t="str">
        <f>IFERROR(insumos[[#This Row],[preço]] / (insumos[quantidade] / IF(insumos[[#This Row],[medida]] = "ML", 1000, IF(insumos[[#This Row],[medida]] = "Litros", 1, 0))), "")</f>
        <v/>
      </c>
      <c r="K33" s="52" t="str">
        <f>IFERROR(insumos[[#This Row],[preço]] / (insumos[quantidade] * IF(insumos[[#This Row],[medida]] = "ML", 1, IF(insumos[[#This Row],[medida]] = "Litros", 1000, 0))), "")</f>
        <v/>
      </c>
    </row>
    <row r="34" spans="2:11">
      <c r="B34">
        <v>116</v>
      </c>
      <c r="C34" t="s">
        <v>238</v>
      </c>
      <c r="D34" s="13">
        <v>48</v>
      </c>
      <c r="E34" s="46">
        <v>4</v>
      </c>
      <c r="F34" t="s">
        <v>55</v>
      </c>
      <c r="G34" s="13">
        <f>IF(insumos[preço] &lt;&gt; "", insumos[[#This Row],[preço]] / IF(insumos[[#This Row],[medida]] = "unidades", insumos[[#This Row],[quantidade]], 1), "")</f>
        <v>12</v>
      </c>
      <c r="H34" s="13" t="str">
        <f>IFERROR(insumos[[#This Row],[preço]] / (insumos[quantidade] / IF(insumos[[#This Row],[medida]] = "Gramas", 1000, IF(insumos[[#This Row],[medida]] = "Quilos", 1, 0))), "")</f>
        <v/>
      </c>
      <c r="I34" s="52" t="str">
        <f>IFERROR(insumos[[#This Row],[preço]] / (insumos[quantidade] * IF(insumos[[#This Row],[medida]] = "Gramas", 1, IF(insumos[[#This Row],[medida]] = "Quilos", 1000, 0))), "")</f>
        <v/>
      </c>
      <c r="J34" s="52" t="str">
        <f>IFERROR(insumos[[#This Row],[preço]] / (insumos[quantidade] / IF(insumos[[#This Row],[medida]] = "ML", 1000, IF(insumos[[#This Row],[medida]] = "Litros", 1, 0))), "")</f>
        <v/>
      </c>
      <c r="K34" s="52" t="str">
        <f>IFERROR(insumos[[#This Row],[preço]] / (insumos[quantidade] * IF(insumos[[#This Row],[medida]] = "ML", 1, IF(insumos[[#This Row],[medida]] = "Litros", 1000, 0))), "")</f>
        <v/>
      </c>
    </row>
    <row r="35" spans="2:11">
      <c r="B35">
        <v>111</v>
      </c>
      <c r="C35" t="s">
        <v>233</v>
      </c>
      <c r="D35" s="13">
        <v>17.5</v>
      </c>
      <c r="E35" s="46">
        <v>5</v>
      </c>
      <c r="F35" t="s">
        <v>55</v>
      </c>
      <c r="G35" s="13">
        <f>IF(insumos[preço] &lt;&gt; "", insumos[[#This Row],[preço]] / IF(insumos[[#This Row],[medida]] = "unidades", insumos[[#This Row],[quantidade]], 1), "")</f>
        <v>3.5</v>
      </c>
      <c r="H35" s="13" t="str">
        <f>IFERROR(insumos[[#This Row],[preço]] / (insumos[quantidade] / IF(insumos[[#This Row],[medida]] = "Gramas", 1000, IF(insumos[[#This Row],[medida]] = "Quilos", 1, 0))), "")</f>
        <v/>
      </c>
      <c r="I35" s="52" t="str">
        <f>IFERROR(insumos[[#This Row],[preço]] / (insumos[quantidade] * IF(insumos[[#This Row],[medida]] = "Gramas", 1, IF(insumos[[#This Row],[medida]] = "Quilos", 1000, 0))), "")</f>
        <v/>
      </c>
      <c r="J35" s="52" t="str">
        <f>IFERROR(insumos[[#This Row],[preço]] / (insumos[quantidade] / IF(insumos[[#This Row],[medida]] = "ML", 1000, IF(insumos[[#This Row],[medida]] = "Litros", 1, 0))), "")</f>
        <v/>
      </c>
      <c r="K35" s="52" t="str">
        <f>IFERROR(insumos[[#This Row],[preço]] / (insumos[quantidade] * IF(insumos[[#This Row],[medida]] = "ML", 1, IF(insumos[[#This Row],[medida]] = "Litros", 1000, 0))), "")</f>
        <v/>
      </c>
    </row>
    <row r="36" spans="2:11">
      <c r="B36">
        <v>40</v>
      </c>
      <c r="C36" t="s">
        <v>193</v>
      </c>
      <c r="D36" s="13">
        <v>9.49</v>
      </c>
      <c r="E36" s="46">
        <v>1</v>
      </c>
      <c r="F36" t="s">
        <v>55</v>
      </c>
      <c r="G36" s="13">
        <f>IF(insumos[preço] &lt;&gt; "", insumos[[#This Row],[preço]] / IF(insumos[[#This Row],[medida]] = "unidades", insumos[[#This Row],[quantidade]], 1), "")</f>
        <v>9.49</v>
      </c>
      <c r="H36" s="13" t="str">
        <f>IFERROR(insumos[[#This Row],[preço]] / (insumos[quantidade] / IF(insumos[[#This Row],[medida]] = "Gramas", 1000, IF(insumos[[#This Row],[medida]] = "Quilos", 1, 0))), "")</f>
        <v/>
      </c>
      <c r="I36" s="45" t="str">
        <f>IFERROR(insumos[[#This Row],[preço]] / (insumos[quantidade] * IF(insumos[[#This Row],[medida]] = "Gramas", 1, IF(insumos[[#This Row],[medida]] = "Quilos", 1000, 0))), "")</f>
        <v/>
      </c>
      <c r="J36" s="45" t="str">
        <f>IFERROR(insumos[[#This Row],[preço]] / (insumos[quantidade] / IF(insumos[[#This Row],[medida]] = "ML", 1000, IF(insumos[[#This Row],[medida]] = "Litros", 1, 0))), "")</f>
        <v/>
      </c>
      <c r="K36" s="45" t="str">
        <f>IFERROR(insumos[[#This Row],[preço]] / (insumos[quantidade] * IF(insumos[[#This Row],[medida]] = "ML", 1, IF(insumos[[#This Row],[medida]] = "Litros", 1000, 0))), "")</f>
        <v/>
      </c>
    </row>
    <row r="37" spans="2:11">
      <c r="B37">
        <v>39</v>
      </c>
      <c r="C37" t="s">
        <v>192</v>
      </c>
      <c r="D37" s="13">
        <v>2.99</v>
      </c>
      <c r="E37" s="46">
        <v>1</v>
      </c>
      <c r="F37" t="s">
        <v>55</v>
      </c>
      <c r="G37" s="13">
        <f>IF(insumos[preço] &lt;&gt; "", insumos[[#This Row],[preço]] / IF(insumos[[#This Row],[medida]] = "unidades", insumos[[#This Row],[quantidade]], 1), "")</f>
        <v>2.99</v>
      </c>
      <c r="H37" s="13" t="str">
        <f>IFERROR(insumos[[#This Row],[preço]] / (insumos[quantidade] / IF(insumos[[#This Row],[medida]] = "Gramas", 1000, IF(insumos[[#This Row],[medida]] = "Quilos", 1, 0))), "")</f>
        <v/>
      </c>
      <c r="I37" s="45" t="str">
        <f>IFERROR(insumos[[#This Row],[preço]] / (insumos[quantidade] * IF(insumos[[#This Row],[medida]] = "Gramas", 1, IF(insumos[[#This Row],[medida]] = "Quilos", 1000, 0))), "")</f>
        <v/>
      </c>
      <c r="J37" s="45" t="str">
        <f>IFERROR(insumos[[#This Row],[preço]] / (insumos[quantidade] / IF(insumos[[#This Row],[medida]] = "ML", 1000, IF(insumos[[#This Row],[medida]] = "Litros", 1, 0))), "")</f>
        <v/>
      </c>
      <c r="K37" s="45" t="str">
        <f>IFERROR(insumos[[#This Row],[preço]] / (insumos[quantidade] * IF(insumos[[#This Row],[medida]] = "ML", 1, IF(insumos[[#This Row],[medida]] = "Litros", 1000, 0))), "")</f>
        <v/>
      </c>
    </row>
    <row r="38" spans="2:11">
      <c r="B38">
        <v>27</v>
      </c>
      <c r="C38" t="s">
        <v>180</v>
      </c>
      <c r="D38" s="13">
        <v>3.49</v>
      </c>
      <c r="E38" s="46">
        <v>400</v>
      </c>
      <c r="F38" t="s">
        <v>58</v>
      </c>
      <c r="G38" s="13">
        <f>IF(insumos[preço] &lt;&gt; "", insumos[[#This Row],[preço]] / IF(insumos[[#This Row],[medida]] = "unidades", insumos[[#This Row],[quantidade]], 1), "")</f>
        <v>3.49</v>
      </c>
      <c r="H38" s="13">
        <f>IFERROR(insumos[[#This Row],[preço]] / (insumos[quantidade] / IF(insumos[[#This Row],[medida]] = "Gramas", 1000, IF(insumos[[#This Row],[medida]] = "Quilos", 1, 0))), "")</f>
        <v>8.7249999999999996</v>
      </c>
      <c r="I38" s="45">
        <f>IFERROR(insumos[[#This Row],[preço]] / (insumos[quantidade] * IF(insumos[[#This Row],[medida]] = "Gramas", 1, IF(insumos[[#This Row],[medida]] = "Quilos", 1000, 0))), "")</f>
        <v>8.7250000000000001E-3</v>
      </c>
      <c r="J38" s="45" t="str">
        <f>IFERROR(insumos[[#This Row],[preço]] / (insumos[quantidade] / IF(insumos[[#This Row],[medida]] = "ML", 1000, IF(insumos[[#This Row],[medida]] = "Litros", 1, 0))), "")</f>
        <v/>
      </c>
      <c r="K38" s="45" t="str">
        <f>IFERROR(insumos[[#This Row],[preço]] / (insumos[quantidade] * IF(insumos[[#This Row],[medida]] = "ML", 1, IF(insumos[[#This Row],[medida]] = "Litros", 1000, 0))), "")</f>
        <v/>
      </c>
    </row>
    <row r="39" spans="2:11">
      <c r="B39">
        <v>32</v>
      </c>
      <c r="C39" t="s">
        <v>185</v>
      </c>
      <c r="D39" s="13">
        <v>6.29</v>
      </c>
      <c r="E39" s="46">
        <v>1</v>
      </c>
      <c r="F39" t="s">
        <v>55</v>
      </c>
      <c r="G39" s="13">
        <f>IF(insumos[preço] &lt;&gt; "", insumos[[#This Row],[preço]] / IF(insumos[[#This Row],[medida]] = "unidades", insumos[[#This Row],[quantidade]], 1), "")</f>
        <v>6.29</v>
      </c>
      <c r="H39" s="13" t="str">
        <f>IFERROR(insumos[[#This Row],[preço]] / (insumos[quantidade] / IF(insumos[[#This Row],[medida]] = "Gramas", 1000, IF(insumos[[#This Row],[medida]] = "Quilos", 1, 0))), "")</f>
        <v/>
      </c>
      <c r="I39" s="45" t="str">
        <f>IFERROR(insumos[[#This Row],[preço]] / (insumos[quantidade] * IF(insumos[[#This Row],[medida]] = "Gramas", 1, IF(insumos[[#This Row],[medida]] = "Quilos", 1000, 0))), "")</f>
        <v/>
      </c>
      <c r="J39" s="45" t="str">
        <f>IFERROR(insumos[[#This Row],[preço]] / (insumos[quantidade] / IF(insumos[[#This Row],[medida]] = "ML", 1000, IF(insumos[[#This Row],[medida]] = "Litros", 1, 0))), "")</f>
        <v/>
      </c>
      <c r="K39" s="45" t="str">
        <f>IFERROR(insumos[[#This Row],[preço]] / (insumos[quantidade] * IF(insumos[[#This Row],[medida]] = "ML", 1, IF(insumos[[#This Row],[medida]] = "Litros", 1000, 0))), "")</f>
        <v/>
      </c>
    </row>
    <row r="40" spans="2:11">
      <c r="B40">
        <v>31</v>
      </c>
      <c r="C40" t="s">
        <v>184</v>
      </c>
      <c r="D40" s="13">
        <v>3.39</v>
      </c>
      <c r="E40" s="46">
        <v>1</v>
      </c>
      <c r="F40" t="s">
        <v>55</v>
      </c>
      <c r="G40" s="13">
        <f>IF(insumos[preço] &lt;&gt; "", insumos[[#This Row],[preço]] / IF(insumos[[#This Row],[medida]] = "unidades", insumos[[#This Row],[quantidade]], 1), "")</f>
        <v>3.39</v>
      </c>
      <c r="H40" s="13" t="str">
        <f>IFERROR(insumos[[#This Row],[preço]] / (insumos[quantidade] / IF(insumos[[#This Row],[medida]] = "Gramas", 1000, IF(insumos[[#This Row],[medida]] = "Quilos", 1, 0))), "")</f>
        <v/>
      </c>
      <c r="I40" s="45" t="str">
        <f>IFERROR(insumos[[#This Row],[preço]] / (insumos[quantidade] * IF(insumos[[#This Row],[medida]] = "Gramas", 1, IF(insumos[[#This Row],[medida]] = "Quilos", 1000, 0))), "")</f>
        <v/>
      </c>
      <c r="J40" s="45" t="str">
        <f>IFERROR(insumos[[#This Row],[preço]] / (insumos[quantidade] / IF(insumos[[#This Row],[medida]] = "ML", 1000, IF(insumos[[#This Row],[medida]] = "Litros", 1, 0))), "")</f>
        <v/>
      </c>
      <c r="K40" s="45" t="str">
        <f>IFERROR(insumos[[#This Row],[preço]] / (insumos[quantidade] * IF(insumos[[#This Row],[medida]] = "ML", 1, IF(insumos[[#This Row],[medida]] = "Litros", 1000, 0))), "")</f>
        <v/>
      </c>
    </row>
    <row r="41" spans="2:11">
      <c r="B41">
        <v>36</v>
      </c>
      <c r="C41" t="s">
        <v>189</v>
      </c>
      <c r="D41" s="13">
        <v>6.98</v>
      </c>
      <c r="E41" s="46">
        <v>1</v>
      </c>
      <c r="F41" t="s">
        <v>55</v>
      </c>
      <c r="G41" s="13">
        <f>IF(insumos[preço] &lt;&gt; "", insumos[[#This Row],[preço]] / IF(insumos[[#This Row],[medida]] = "unidades", insumos[[#This Row],[quantidade]], 1), "")</f>
        <v>6.98</v>
      </c>
      <c r="H41" s="13" t="str">
        <f>IFERROR(insumos[[#This Row],[preço]] / (insumos[quantidade] / IF(insumos[[#This Row],[medida]] = "Gramas", 1000, IF(insumos[[#This Row],[medida]] = "Quilos", 1, 0))), "")</f>
        <v/>
      </c>
      <c r="I41" s="45" t="str">
        <f>IFERROR(insumos[[#This Row],[preço]] / (insumos[quantidade] * IF(insumos[[#This Row],[medida]] = "Gramas", 1, IF(insumos[[#This Row],[medida]] = "Quilos", 1000, 0))), "")</f>
        <v/>
      </c>
      <c r="J41" s="45" t="str">
        <f>IFERROR(insumos[[#This Row],[preço]] / (insumos[quantidade] / IF(insumos[[#This Row],[medida]] = "ML", 1000, IF(insumos[[#This Row],[medida]] = "Litros", 1, 0))), "")</f>
        <v/>
      </c>
      <c r="K41" s="45" t="str">
        <f>IFERROR(insumos[[#This Row],[preço]] / (insumos[quantidade] * IF(insumos[[#This Row],[medida]] = "ML", 1, IF(insumos[[#This Row],[medida]] = "Litros", 1000, 0))), "")</f>
        <v/>
      </c>
    </row>
    <row r="42" spans="2:11">
      <c r="B42">
        <v>14</v>
      </c>
      <c r="C42" t="s">
        <v>168</v>
      </c>
      <c r="D42" s="13">
        <v>49.99</v>
      </c>
      <c r="E42" s="46">
        <v>3800</v>
      </c>
      <c r="F42" t="s">
        <v>58</v>
      </c>
      <c r="G42" s="13">
        <f>IF(insumos[preço] &lt;&gt; "", insumos[[#This Row],[preço]] / IF(insumos[[#This Row],[medida]] = "unidades", insumos[[#This Row],[quantidade]], 1), "")</f>
        <v>49.99</v>
      </c>
      <c r="H42" s="13">
        <f>IFERROR(insumos[[#This Row],[preço]] / (insumos[quantidade] / IF(insumos[[#This Row],[medida]] = "Gramas", 1000, IF(insumos[[#This Row],[medida]] = "Quilos", 1, 0))), "")</f>
        <v>13.155263157894739</v>
      </c>
      <c r="I42" s="45">
        <f>IFERROR(insumos[[#This Row],[preço]] / (insumos[quantidade] * IF(insumos[[#This Row],[medida]] = "Gramas", 1, IF(insumos[[#This Row],[medida]] = "Quilos", 1000, 0))), "")</f>
        <v>1.3155263157894738E-2</v>
      </c>
      <c r="J42" s="45" t="str">
        <f>IFERROR(insumos[[#This Row],[preço]] / (insumos[quantidade] / IF(insumos[[#This Row],[medida]] = "ML", 1000, IF(insumos[[#This Row],[medida]] = "Litros", 1, 0))), "")</f>
        <v/>
      </c>
      <c r="K42" s="45" t="str">
        <f>IFERROR(insumos[[#This Row],[preço]] / (insumos[quantidade] * IF(insumos[[#This Row],[medida]] = "ML", 1, IF(insumos[[#This Row],[medida]] = "Litros", 1000, 0))), "")</f>
        <v/>
      </c>
    </row>
    <row r="43" spans="2:11">
      <c r="B43">
        <v>15</v>
      </c>
      <c r="C43" t="s">
        <v>169</v>
      </c>
      <c r="D43" s="13">
        <v>10.89</v>
      </c>
      <c r="E43" s="46">
        <v>1008</v>
      </c>
      <c r="F43" t="s">
        <v>58</v>
      </c>
      <c r="G43" s="13">
        <f>IF(insumos[preço] &lt;&gt; "", insumos[[#This Row],[preço]] / IF(insumos[[#This Row],[medida]] = "unidades", insumos[[#This Row],[quantidade]], 1), "")</f>
        <v>10.89</v>
      </c>
      <c r="H43" s="13">
        <f>IFERROR(insumos[[#This Row],[preço]] / (insumos[quantidade] / IF(insumos[[#This Row],[medida]] = "Gramas", 1000, IF(insumos[[#This Row],[medida]] = "Quilos", 1, 0))), "")</f>
        <v>10.803571428571429</v>
      </c>
      <c r="I43" s="45">
        <f>IFERROR(insumos[[#This Row],[preço]] / (insumos[quantidade] * IF(insumos[[#This Row],[medida]] = "Gramas", 1, IF(insumos[[#This Row],[medida]] = "Quilos", 1000, 0))), "")</f>
        <v>1.080357142857143E-2</v>
      </c>
      <c r="J43" s="45" t="str">
        <f>IFERROR(insumos[[#This Row],[preço]] / (insumos[quantidade] / IF(insumos[[#This Row],[medida]] = "ML", 1000, IF(insumos[[#This Row],[medida]] = "Litros", 1, 0))), "")</f>
        <v/>
      </c>
      <c r="K43" s="45" t="str">
        <f>IFERROR(insumos[[#This Row],[preço]] / (insumos[quantidade] * IF(insumos[[#This Row],[medida]] = "ML", 1, IF(insumos[[#This Row],[medida]] = "Litros", 1000, 0))), "")</f>
        <v/>
      </c>
    </row>
    <row r="44" spans="2:11">
      <c r="B44">
        <v>23</v>
      </c>
      <c r="C44" t="s">
        <v>176</v>
      </c>
      <c r="D44" s="13">
        <v>5.49</v>
      </c>
      <c r="E44" s="46">
        <v>1000</v>
      </c>
      <c r="F44" t="s">
        <v>85</v>
      </c>
      <c r="G44" s="13">
        <f>IF(insumos[preço] &lt;&gt; "", insumos[[#This Row],[preço]] / IF(insumos[[#This Row],[medida]] = "unidades", insumos[[#This Row],[quantidade]], 1), "")</f>
        <v>5.49</v>
      </c>
      <c r="H44" s="13" t="str">
        <f>IFERROR(insumos[[#This Row],[preço]] / (insumos[quantidade] / IF(insumos[[#This Row],[medida]] = "Gramas", 1000, IF(insumos[[#This Row],[medida]] = "Quilos", 1, 0))), "")</f>
        <v/>
      </c>
      <c r="I44" s="45" t="str">
        <f>IFERROR(insumos[[#This Row],[preço]] / (insumos[quantidade] * IF(insumos[[#This Row],[medida]] = "Gramas", 1, IF(insumos[[#This Row],[medida]] = "Quilos", 1000, 0))), "")</f>
        <v/>
      </c>
      <c r="J44" s="45">
        <f>IFERROR(insumos[[#This Row],[preço]] / (insumos[quantidade] / IF(insumos[[#This Row],[medida]] = "ML", 1000, IF(insumos[[#This Row],[medida]] = "Litros", 1, 0))), "")</f>
        <v>5.49</v>
      </c>
      <c r="K44" s="45">
        <f>IFERROR(insumos[[#This Row],[preço]] / (insumos[quantidade] * IF(insumos[[#This Row],[medida]] = "ML", 1, IF(insumos[[#This Row],[medida]] = "Litros", 1000, 0))), "")</f>
        <v>5.4900000000000001E-3</v>
      </c>
    </row>
    <row r="45" spans="2:11">
      <c r="B45">
        <v>20</v>
      </c>
      <c r="C45" t="s">
        <v>174</v>
      </c>
      <c r="D45" s="13">
        <v>12.99</v>
      </c>
      <c r="E45" s="46">
        <v>1010</v>
      </c>
      <c r="F45" t="s">
        <v>58</v>
      </c>
      <c r="G45" s="13">
        <f>IF(insumos[preço] &lt;&gt; "", insumos[[#This Row],[preço]] / IF(insumos[[#This Row],[medida]] = "unidades", insumos[[#This Row],[quantidade]], 1), "")</f>
        <v>12.99</v>
      </c>
      <c r="H45" s="13">
        <f>IFERROR(insumos[[#This Row],[preço]] / (insumos[quantidade] / IF(insumos[[#This Row],[medida]] = "Gramas", 1000, IF(insumos[[#This Row],[medida]] = "Quilos", 1, 0))), "")</f>
        <v>12.861386138613861</v>
      </c>
      <c r="I45" s="45">
        <f>IFERROR(insumos[[#This Row],[preço]] / (insumos[quantidade] * IF(insumos[[#This Row],[medida]] = "Gramas", 1, IF(insumos[[#This Row],[medida]] = "Quilos", 1000, 0))), "")</f>
        <v>1.2861386138613862E-2</v>
      </c>
      <c r="J45" s="45" t="str">
        <f>IFERROR(insumos[[#This Row],[preço]] / (insumos[quantidade] / IF(insumos[[#This Row],[medida]] = "ML", 1000, IF(insumos[[#This Row],[medida]] = "Litros", 1, 0))), "")</f>
        <v/>
      </c>
      <c r="K45" s="45" t="str">
        <f>IFERROR(insumos[[#This Row],[preço]] / (insumos[quantidade] * IF(insumos[[#This Row],[medida]] = "ML", 1, IF(insumos[[#This Row],[medida]] = "Litros", 1000, 0))), "")</f>
        <v/>
      </c>
    </row>
    <row r="46" spans="2:11">
      <c r="B46">
        <v>16</v>
      </c>
      <c r="C46" t="s">
        <v>170</v>
      </c>
      <c r="D46" s="13">
        <v>10.89</v>
      </c>
      <c r="E46" s="46">
        <v>1008</v>
      </c>
      <c r="F46" t="s">
        <v>58</v>
      </c>
      <c r="G46" s="13">
        <f>IF(insumos[preço] &lt;&gt; "", insumos[[#This Row],[preço]] / IF(insumos[[#This Row],[medida]] = "unidades", insumos[[#This Row],[quantidade]], 1), "")</f>
        <v>10.89</v>
      </c>
      <c r="H46" s="13">
        <f>IFERROR(insumos[[#This Row],[preço]] / (insumos[quantidade] / IF(insumos[[#This Row],[medida]] = "Gramas", 1000, IF(insumos[[#This Row],[medida]] = "Quilos", 1, 0))), "")</f>
        <v>10.803571428571429</v>
      </c>
      <c r="I46" s="45">
        <f>IFERROR(insumos[[#This Row],[preço]] / (insumos[quantidade] * IF(insumos[[#This Row],[medida]] = "Gramas", 1, IF(insumos[[#This Row],[medida]] = "Quilos", 1000, 0))), "")</f>
        <v>1.080357142857143E-2</v>
      </c>
      <c r="J46" s="45" t="str">
        <f>IFERROR(insumos[[#This Row],[preço]] / (insumos[quantidade] / IF(insumos[[#This Row],[medida]] = "ML", 1000, IF(insumos[[#This Row],[medida]] = "Litros", 1, 0))), "")</f>
        <v/>
      </c>
      <c r="K46" s="45" t="str">
        <f>IFERROR(insumos[[#This Row],[preço]] / (insumos[quantidade] * IF(insumos[[#This Row],[medida]] = "ML", 1, IF(insumos[[#This Row],[medida]] = "Litros", 1000, 0))), "")</f>
        <v/>
      </c>
    </row>
    <row r="47" spans="2:11">
      <c r="B47">
        <v>7</v>
      </c>
      <c r="C47" t="s">
        <v>161</v>
      </c>
      <c r="D47" s="13">
        <v>10.99</v>
      </c>
      <c r="E47" s="46">
        <v>1000</v>
      </c>
      <c r="F47" t="s">
        <v>58</v>
      </c>
      <c r="G47" s="13">
        <f>IF(insumos[preço] &lt;&gt; "", insumos[[#This Row],[preço]] / IF(insumos[[#This Row],[medida]] = "unidades", insumos[[#This Row],[quantidade]], 1), "")</f>
        <v>10.99</v>
      </c>
      <c r="H47" s="13">
        <f>IFERROR(insumos[[#This Row],[preço]] / (insumos[quantidade] / IF(insumos[[#This Row],[medida]] = "Gramas", 1000, IF(insumos[[#This Row],[medida]] = "Quilos", 1, 0))), "")</f>
        <v>10.99</v>
      </c>
      <c r="I47" s="45">
        <f>IFERROR(insumos[[#This Row],[preço]] / (insumos[quantidade] * IF(insumos[[#This Row],[medida]] = "Gramas", 1, IF(insumos[[#This Row],[medida]] = "Quilos", 1000, 0))), "")</f>
        <v>1.099E-2</v>
      </c>
      <c r="J47" s="45" t="str">
        <f>IFERROR(insumos[[#This Row],[preço]] / (insumos[quantidade] / IF(insumos[[#This Row],[medida]] = "ML", 1000, IF(insumos[[#This Row],[medida]] = "Litros", 1, 0))), "")</f>
        <v/>
      </c>
      <c r="K47" s="45" t="str">
        <f>IFERROR(insumos[[#This Row],[preço]] / (insumos[quantidade] * IF(insumos[[#This Row],[medida]] = "ML", 1, IF(insumos[[#This Row],[medida]] = "Litros", 1000, 0))), "")</f>
        <v/>
      </c>
    </row>
    <row r="48" spans="2:11">
      <c r="B48">
        <v>13</v>
      </c>
      <c r="C48" t="s">
        <v>167</v>
      </c>
      <c r="D48" s="13">
        <v>16.989999999999998</v>
      </c>
      <c r="E48" s="46">
        <v>3100</v>
      </c>
      <c r="F48" t="s">
        <v>58</v>
      </c>
      <c r="G48" s="13">
        <f>IF(insumos[preço] &lt;&gt; "", insumos[[#This Row],[preço]] / IF(insumos[[#This Row],[medida]] = "unidades", insumos[[#This Row],[quantidade]], 1), "")</f>
        <v>16.989999999999998</v>
      </c>
      <c r="H48" s="13">
        <f>IFERROR(insumos[[#This Row],[preço]] / (insumos[quantidade] / IF(insumos[[#This Row],[medida]] = "Gramas", 1000, IF(insumos[[#This Row],[medida]] = "Quilos", 1, 0))), "")</f>
        <v>5.4806451612903215</v>
      </c>
      <c r="I48" s="45">
        <f>IFERROR(insumos[[#This Row],[preço]] / (insumos[quantidade] * IF(insumos[[#This Row],[medida]] = "Gramas", 1, IF(insumos[[#This Row],[medida]] = "Quilos", 1000, 0))), "")</f>
        <v>5.4806451612903224E-3</v>
      </c>
      <c r="J48" s="45" t="str">
        <f>IFERROR(insumos[[#This Row],[preço]] / (insumos[quantidade] / IF(insumos[[#This Row],[medida]] = "ML", 1000, IF(insumos[[#This Row],[medida]] = "Litros", 1, 0))), "")</f>
        <v/>
      </c>
      <c r="K48" s="45" t="str">
        <f>IFERROR(insumos[[#This Row],[preço]] / (insumos[quantidade] * IF(insumos[[#This Row],[medida]] = "ML", 1, IF(insumos[[#This Row],[medida]] = "Litros", 1000, 0))), "")</f>
        <v/>
      </c>
    </row>
    <row r="49" spans="2:11">
      <c r="B49">
        <v>17</v>
      </c>
      <c r="C49" t="s">
        <v>171</v>
      </c>
      <c r="D49" s="13">
        <v>10.89</v>
      </c>
      <c r="E49" s="46">
        <v>1008</v>
      </c>
      <c r="F49" t="s">
        <v>58</v>
      </c>
      <c r="G49" s="13">
        <f>IF(insumos[preço] &lt;&gt; "", insumos[[#This Row],[preço]] / IF(insumos[[#This Row],[medida]] = "unidades", insumos[[#This Row],[quantidade]], 1), "")</f>
        <v>10.89</v>
      </c>
      <c r="H49" s="13">
        <f>IFERROR(insumos[[#This Row],[preço]] / (insumos[quantidade] / IF(insumos[[#This Row],[medida]] = "Gramas", 1000, IF(insumos[[#This Row],[medida]] = "Quilos", 1, 0))), "")</f>
        <v>10.803571428571429</v>
      </c>
      <c r="I49" s="45">
        <f>IFERROR(insumos[[#This Row],[preço]] / (insumos[quantidade] * IF(insumos[[#This Row],[medida]] = "Gramas", 1, IF(insumos[[#This Row],[medida]] = "Quilos", 1000, 0))), "")</f>
        <v>1.080357142857143E-2</v>
      </c>
      <c r="J49" s="45" t="str">
        <f>IFERROR(insumos[[#This Row],[preço]] / (insumos[quantidade] / IF(insumos[[#This Row],[medida]] = "ML", 1000, IF(insumos[[#This Row],[medida]] = "Litros", 1, 0))), "")</f>
        <v/>
      </c>
      <c r="K49" s="45" t="str">
        <f>IFERROR(insumos[[#This Row],[preço]] / (insumos[quantidade] * IF(insumos[[#This Row],[medida]] = "ML", 1, IF(insumos[[#This Row],[medida]] = "Litros", 1000, 0))), "")</f>
        <v/>
      </c>
    </row>
    <row r="50" spans="2:11">
      <c r="B50">
        <v>46</v>
      </c>
      <c r="C50" t="s">
        <v>215</v>
      </c>
      <c r="D50" s="13">
        <v>6</v>
      </c>
      <c r="E50" s="46">
        <v>1000</v>
      </c>
      <c r="F50" t="s">
        <v>85</v>
      </c>
      <c r="G50" s="13">
        <f>IF(insumos[preço] &lt;&gt; "", insumos[[#This Row],[preço]] / IF(insumos[[#This Row],[medida]] = "unidades", insumos[[#This Row],[quantidade]], 1), "")</f>
        <v>6</v>
      </c>
      <c r="H50" s="13" t="str">
        <f>IFERROR(insumos[[#This Row],[preço]] / (insumos[quantidade] / IF(insumos[[#This Row],[medida]] = "Gramas", 1000, IF(insumos[[#This Row],[medida]] = "Quilos", 1, 0))), "")</f>
        <v/>
      </c>
      <c r="I50" s="45" t="str">
        <f>IFERROR(insumos[[#This Row],[preço]] / (insumos[quantidade] * IF(insumos[[#This Row],[medida]] = "Gramas", 1, IF(insumos[[#This Row],[medida]] = "Quilos", 1000, 0))), "")</f>
        <v/>
      </c>
      <c r="J50" s="45">
        <f>IFERROR(insumos[[#This Row],[preço]] / (insumos[quantidade] / IF(insumos[[#This Row],[medida]] = "ML", 1000, IF(insumos[[#This Row],[medida]] = "Litros", 1, 0))), "")</f>
        <v>6</v>
      </c>
      <c r="K50" s="45">
        <f>IFERROR(insumos[[#This Row],[preço]] / (insumos[quantidade] * IF(insumos[[#This Row],[medida]] = "ML", 1, IF(insumos[[#This Row],[medida]] = "Litros", 1000, 0))), "")</f>
        <v>6.0000000000000001E-3</v>
      </c>
    </row>
    <row r="51" spans="2:11">
      <c r="B51">
        <v>33</v>
      </c>
      <c r="C51" t="s">
        <v>186</v>
      </c>
      <c r="D51" s="13">
        <v>4.79</v>
      </c>
      <c r="E51" s="46">
        <v>1</v>
      </c>
      <c r="F51" t="s">
        <v>55</v>
      </c>
      <c r="G51" s="13">
        <f>IF(insumos[preço] &lt;&gt; "", insumos[[#This Row],[preço]] / IF(insumos[[#This Row],[medida]] = "unidades", insumos[[#This Row],[quantidade]], 1), "")</f>
        <v>4.79</v>
      </c>
      <c r="H51" s="13" t="str">
        <f>IFERROR(insumos[[#This Row],[preço]] / (insumos[quantidade] / IF(insumos[[#This Row],[medida]] = "Gramas", 1000, IF(insumos[[#This Row],[medida]] = "Quilos", 1, 0))), "")</f>
        <v/>
      </c>
      <c r="I51" s="45" t="str">
        <f>IFERROR(insumos[[#This Row],[preço]] / (insumos[quantidade] * IF(insumos[[#This Row],[medida]] = "Gramas", 1, IF(insumos[[#This Row],[medida]] = "Quilos", 1000, 0))), "")</f>
        <v/>
      </c>
      <c r="J51" s="45" t="str">
        <f>IFERROR(insumos[[#This Row],[preço]] / (insumos[quantidade] / IF(insumos[[#This Row],[medida]] = "ML", 1000, IF(insumos[[#This Row],[medida]] = "Litros", 1, 0))), "")</f>
        <v/>
      </c>
      <c r="K51" s="45" t="str">
        <f>IFERROR(insumos[[#This Row],[preço]] / (insumos[quantidade] * IF(insumos[[#This Row],[medida]] = "ML", 1, IF(insumos[[#This Row],[medida]] = "Litros", 1000, 0))), "")</f>
        <v/>
      </c>
    </row>
    <row r="52" spans="2:11">
      <c r="B52">
        <v>42</v>
      </c>
      <c r="C52" t="s">
        <v>195</v>
      </c>
      <c r="D52" s="13">
        <v>5</v>
      </c>
      <c r="E52" s="46">
        <v>1</v>
      </c>
      <c r="F52" t="s">
        <v>55</v>
      </c>
      <c r="G52" s="13">
        <f>IF(insumos[preço] &lt;&gt; "", insumos[[#This Row],[preço]] / IF(insumos[[#This Row],[medida]] = "unidades", insumos[[#This Row],[quantidade]], 1), "")</f>
        <v>5</v>
      </c>
      <c r="H52" s="13" t="str">
        <f>IFERROR(insumos[[#This Row],[preço]] / (insumos[quantidade] / IF(insumos[[#This Row],[medida]] = "Gramas", 1000, IF(insumos[[#This Row],[medida]] = "Quilos", 1, 0))), "")</f>
        <v/>
      </c>
      <c r="I52" s="45" t="str">
        <f>IFERROR(insumos[[#This Row],[preço]] / (insumos[quantidade] * IF(insumos[[#This Row],[medida]] = "Gramas", 1, IF(insumos[[#This Row],[medida]] = "Quilos", 1000, 0))), "")</f>
        <v/>
      </c>
      <c r="J52" s="45" t="str">
        <f>IFERROR(insumos[[#This Row],[preço]] / (insumos[quantidade] / IF(insumos[[#This Row],[medida]] = "ML", 1000, IF(insumos[[#This Row],[medida]] = "Litros", 1, 0))), "")</f>
        <v/>
      </c>
      <c r="K52" s="45" t="str">
        <f>IFERROR(insumos[[#This Row],[preço]] / (insumos[quantidade] * IF(insumos[[#This Row],[medida]] = "ML", 1, IF(insumos[[#This Row],[medida]] = "Litros", 1000, 0))), "")</f>
        <v/>
      </c>
    </row>
    <row r="53" spans="2:11">
      <c r="B53">
        <v>43</v>
      </c>
      <c r="C53" t="s">
        <v>208</v>
      </c>
      <c r="D53" s="13">
        <v>2.8</v>
      </c>
      <c r="E53" s="46">
        <v>1</v>
      </c>
      <c r="F53" t="s">
        <v>55</v>
      </c>
      <c r="G53" s="13">
        <f>IF(insumos[preço] &lt;&gt; "", insumos[[#This Row],[preço]] / IF(insumos[[#This Row],[medida]] = "unidades", insumos[[#This Row],[quantidade]], 1), "")</f>
        <v>2.8</v>
      </c>
      <c r="H53" s="13" t="str">
        <f>IFERROR(insumos[[#This Row],[preço]] / (insumos[quantidade] / IF(insumos[[#This Row],[medida]] = "Gramas", 1000, IF(insumos[[#This Row],[medida]] = "Quilos", 1, 0))), "")</f>
        <v/>
      </c>
      <c r="I53" s="45" t="str">
        <f>IFERROR(insumos[[#This Row],[preço]] / (insumos[quantidade] * IF(insumos[[#This Row],[medida]] = "Gramas", 1, IF(insumos[[#This Row],[medida]] = "Quilos", 1000, 0))), "")</f>
        <v/>
      </c>
      <c r="J53" s="45" t="str">
        <f>IFERROR(insumos[[#This Row],[preço]] / (insumos[quantidade] / IF(insumos[[#This Row],[medida]] = "ML", 1000, IF(insumos[[#This Row],[medida]] = "Litros", 1, 0))), "")</f>
        <v/>
      </c>
      <c r="K53" s="45" t="str">
        <f>IFERROR(insumos[[#This Row],[preço]] / (insumos[quantidade] * IF(insumos[[#This Row],[medida]] = "ML", 1, IF(insumos[[#This Row],[medida]] = "Litros", 1000, 0))), "")</f>
        <v/>
      </c>
    </row>
    <row r="54" spans="2:11">
      <c r="B54">
        <v>50</v>
      </c>
      <c r="C54" t="s">
        <v>226</v>
      </c>
      <c r="D54" s="13">
        <v>17.989999999999998</v>
      </c>
      <c r="E54" s="46">
        <v>5</v>
      </c>
      <c r="F54" t="s">
        <v>55</v>
      </c>
      <c r="G54" s="13">
        <f>IF(insumos[preço] &lt;&gt; "", insumos[[#This Row],[preço]] / IF(insumos[[#This Row],[medida]] = "unidades", insumos[[#This Row],[quantidade]], 1), "")</f>
        <v>3.5979999999999999</v>
      </c>
      <c r="H54" s="13" t="str">
        <f>IFERROR(insumos[[#This Row],[preço]] / (insumos[quantidade] / IF(insumos[[#This Row],[medida]] = "Gramas", 1000, IF(insumos[[#This Row],[medida]] = "Quilos", 1, 0))), "")</f>
        <v/>
      </c>
      <c r="I54" s="45" t="str">
        <f>IFERROR(insumos[[#This Row],[preço]] / (insumos[quantidade] * IF(insumos[[#This Row],[medida]] = "Gramas", 1, IF(insumos[[#This Row],[medida]] = "Quilos", 1000, 0))), "")</f>
        <v/>
      </c>
      <c r="J54" s="45" t="str">
        <f>IFERROR(insumos[[#This Row],[preço]] / (insumos[quantidade] / IF(insumos[[#This Row],[medida]] = "ML", 1000, IF(insumos[[#This Row],[medida]] = "Litros", 1, 0))), "")</f>
        <v/>
      </c>
      <c r="K54" s="45" t="str">
        <f>IFERROR(insumos[[#This Row],[preço]] / (insumos[quantidade] * IF(insumos[[#This Row],[medida]] = "ML", 1, IF(insumos[[#This Row],[medida]] = "Litros", 1000, 0))), "")</f>
        <v/>
      </c>
    </row>
    <row r="55" spans="2:11">
      <c r="B55">
        <v>18</v>
      </c>
      <c r="C55" t="s">
        <v>172</v>
      </c>
      <c r="D55" s="13">
        <v>69.900000000000006</v>
      </c>
      <c r="E55" s="46">
        <v>1800</v>
      </c>
      <c r="F55" t="s">
        <v>58</v>
      </c>
      <c r="G55" s="13">
        <f>IF(insumos[preço] &lt;&gt; "", insumos[[#This Row],[preço]] / IF(insumos[[#This Row],[medida]] = "unidades", insumos[[#This Row],[quantidade]], 1), "")</f>
        <v>69.900000000000006</v>
      </c>
      <c r="H55" s="13">
        <f>IFERROR(insumos[[#This Row],[preço]] / (insumos[quantidade] / IF(insumos[[#This Row],[medida]] = "Gramas", 1000, IF(insumos[[#This Row],[medida]] = "Quilos", 1, 0))), "")</f>
        <v>38.833333333333336</v>
      </c>
      <c r="I55" s="45">
        <f>IFERROR(insumos[[#This Row],[preço]] / (insumos[quantidade] * IF(insumos[[#This Row],[medida]] = "Gramas", 1, IF(insumos[[#This Row],[medida]] = "Quilos", 1000, 0))), "")</f>
        <v>3.8833333333333338E-2</v>
      </c>
      <c r="J55" s="45" t="str">
        <f>IFERROR(insumos[[#This Row],[preço]] / (insumos[quantidade] / IF(insumos[[#This Row],[medida]] = "ML", 1000, IF(insumos[[#This Row],[medida]] = "Litros", 1, 0))), "")</f>
        <v/>
      </c>
      <c r="K55" s="45" t="str">
        <f>IFERROR(insumos[[#This Row],[preço]] / (insumos[quantidade] * IF(insumos[[#This Row],[medida]] = "ML", 1, IF(insumos[[#This Row],[medida]] = "Litros", 1000, 0))), "")</f>
        <v/>
      </c>
    </row>
    <row r="56" spans="2:11">
      <c r="B56">
        <v>9</v>
      </c>
      <c r="C56" t="s">
        <v>163</v>
      </c>
      <c r="D56" s="13">
        <v>11.89</v>
      </c>
      <c r="E56" s="46">
        <v>1000</v>
      </c>
      <c r="F56" t="s">
        <v>58</v>
      </c>
      <c r="G56" s="13">
        <f>IF(insumos[preço] &lt;&gt; "", insumos[[#This Row],[preço]] / IF(insumos[[#This Row],[medida]] = "unidades", insumos[[#This Row],[quantidade]], 1), "")</f>
        <v>11.89</v>
      </c>
      <c r="H56" s="13">
        <f>IFERROR(insumos[[#This Row],[preço]] / (insumos[quantidade] / IF(insumos[[#This Row],[medida]] = "Gramas", 1000, IF(insumos[[#This Row],[medida]] = "Quilos", 1, 0))), "")</f>
        <v>11.89</v>
      </c>
      <c r="I56" s="45">
        <f>IFERROR(insumos[[#This Row],[preço]] / (insumos[quantidade] * IF(insumos[[#This Row],[medida]] = "Gramas", 1, IF(insumos[[#This Row],[medida]] = "Quilos", 1000, 0))), "")</f>
        <v>1.1890000000000001E-2</v>
      </c>
      <c r="J56" s="45" t="str">
        <f>IFERROR(insumos[[#This Row],[preço]] / (insumos[quantidade] / IF(insumos[[#This Row],[medida]] = "ML", 1000, IF(insumos[[#This Row],[medida]] = "Litros", 1, 0))), "")</f>
        <v/>
      </c>
      <c r="K56" s="45" t="str">
        <f>IFERROR(insumos[[#This Row],[preço]] / (insumos[quantidade] * IF(insumos[[#This Row],[medida]] = "ML", 1, IF(insumos[[#This Row],[medida]] = "Litros", 1000, 0))), "")</f>
        <v/>
      </c>
    </row>
    <row r="57" spans="2:11">
      <c r="B57">
        <v>2</v>
      </c>
      <c r="C57" t="s">
        <v>156</v>
      </c>
      <c r="D57" s="13">
        <v>3.29</v>
      </c>
      <c r="E57" s="46">
        <v>100</v>
      </c>
      <c r="F57" t="s">
        <v>58</v>
      </c>
      <c r="G57" s="13">
        <f>IF(insumos[preço] &lt;&gt; "", insumos[[#This Row],[preço]] / IF(insumos[[#This Row],[medida]] = "unidades", insumos[[#This Row],[quantidade]], 1), "")</f>
        <v>3.29</v>
      </c>
      <c r="H57" s="13">
        <f>IFERROR(insumos[[#This Row],[preço]] / (insumos[quantidade] / IF(insumos[[#This Row],[medida]] = "Gramas", 1000, IF(insumos[[#This Row],[medida]] = "Quilos", 1, 0))), "")</f>
        <v>32.9</v>
      </c>
      <c r="I57" s="45">
        <f>IFERROR(insumos[[#This Row],[preço]] / (insumos[quantidade] * IF(insumos[[#This Row],[medida]] = "Gramas", 1, IF(insumos[[#This Row],[medida]] = "Quilos", 1000, 0))), "")</f>
        <v>3.2899999999999999E-2</v>
      </c>
      <c r="J57" s="45" t="str">
        <f>IFERROR(insumos[[#This Row],[preço]] / (insumos[quantidade] / IF(insumos[[#This Row],[medida]] = "ML", 1000, IF(insumos[[#This Row],[medida]] = "Litros", 1, 0))), "")</f>
        <v/>
      </c>
      <c r="K57" s="45" t="str">
        <f>IFERROR(insumos[[#This Row],[preço]] / (insumos[quantidade] * IF(insumos[[#This Row],[medida]] = "ML", 1, IF(insumos[[#This Row],[medida]] = "Litros", 1000, 0))), "")</f>
        <v/>
      </c>
    </row>
    <row r="58" spans="2:11">
      <c r="B58">
        <v>25</v>
      </c>
      <c r="C58" t="s">
        <v>178</v>
      </c>
      <c r="D58" s="13">
        <v>55.98</v>
      </c>
      <c r="E58" s="46">
        <v>1000</v>
      </c>
      <c r="F58" t="s">
        <v>58</v>
      </c>
      <c r="G58" s="13">
        <f>IF(insumos[preço] &lt;&gt; "", insumos[[#This Row],[preço]] / IF(insumos[[#This Row],[medida]] = "unidades", insumos[[#This Row],[quantidade]], 1), "")</f>
        <v>55.98</v>
      </c>
      <c r="H58" s="13">
        <f>IFERROR(insumos[[#This Row],[preço]] / (insumos[quantidade] / IF(insumos[[#This Row],[medida]] = "Gramas", 1000, IF(insumos[[#This Row],[medida]] = "Quilos", 1, 0))), "")</f>
        <v>55.98</v>
      </c>
      <c r="I58" s="45">
        <f>IFERROR(insumos[[#This Row],[preço]] / (insumos[quantidade] * IF(insumos[[#This Row],[medida]] = "Gramas", 1, IF(insumos[[#This Row],[medida]] = "Quilos", 1000, 0))), "")</f>
        <v>5.5979999999999995E-2</v>
      </c>
      <c r="J58" s="45" t="str">
        <f>IFERROR(insumos[[#This Row],[preço]] / (insumos[quantidade] / IF(insumos[[#This Row],[medida]] = "ML", 1000, IF(insumos[[#This Row],[medida]] = "Litros", 1, 0))), "")</f>
        <v/>
      </c>
      <c r="K58" s="45" t="str">
        <f>IFERROR(insumos[[#This Row],[preço]] / (insumos[quantidade] * IF(insumos[[#This Row],[medida]] = "ML", 1, IF(insumos[[#This Row],[medida]] = "Litros", 1000, 0))), "")</f>
        <v/>
      </c>
    </row>
    <row r="59" spans="2:11">
      <c r="B59">
        <v>48</v>
      </c>
      <c r="C59" t="s">
        <v>224</v>
      </c>
      <c r="D59" s="13">
        <v>10</v>
      </c>
      <c r="E59" s="46">
        <v>150</v>
      </c>
      <c r="F59" t="s">
        <v>58</v>
      </c>
      <c r="G59" s="13">
        <f>IF(insumos[preço] &lt;&gt; "", insumos[[#This Row],[preço]] / IF(insumos[[#This Row],[medida]] = "unidades", insumos[[#This Row],[quantidade]], 1), "")</f>
        <v>10</v>
      </c>
      <c r="H59" s="13">
        <f>IFERROR(insumos[[#This Row],[preço]] / (insumos[quantidade] / IF(insumos[[#This Row],[medida]] = "Gramas", 1000, IF(insumos[[#This Row],[medida]] = "Quilos", 1, 0))), "")</f>
        <v>66.666666666666671</v>
      </c>
      <c r="I59" s="45">
        <f>IFERROR(insumos[[#This Row],[preço]] / (insumos[quantidade] * IF(insumos[[#This Row],[medida]] = "Gramas", 1, IF(insumos[[#This Row],[medida]] = "Quilos", 1000, 0))), "")</f>
        <v>6.6666666666666666E-2</v>
      </c>
      <c r="J59" s="45" t="str">
        <f>IFERROR(insumos[[#This Row],[preço]] / (insumos[quantidade] / IF(insumos[[#This Row],[medida]] = "ML", 1000, IF(insumos[[#This Row],[medida]] = "Litros", 1, 0))), "")</f>
        <v/>
      </c>
      <c r="K59" s="45" t="str">
        <f>IFERROR(insumos[[#This Row],[preço]] / (insumos[quantidade] * IF(insumos[[#This Row],[medida]] = "ML", 1, IF(insumos[[#This Row],[medida]] = "Litros", 1000, 0))), "")</f>
        <v/>
      </c>
    </row>
    <row r="60" spans="2:11">
      <c r="B60">
        <v>26</v>
      </c>
      <c r="C60" t="s">
        <v>179</v>
      </c>
      <c r="D60" s="13">
        <v>27.99</v>
      </c>
      <c r="E60" s="46">
        <v>180</v>
      </c>
      <c r="F60" t="s">
        <v>58</v>
      </c>
      <c r="G60" s="13">
        <f>IF(insumos[preço] &lt;&gt; "", insumos[[#This Row],[preço]] / IF(insumos[[#This Row],[medida]] = "unidades", insumos[[#This Row],[quantidade]], 1), "")</f>
        <v>27.99</v>
      </c>
      <c r="H60" s="13">
        <f>IFERROR(insumos[[#This Row],[preço]] / (insumos[quantidade] / IF(insumos[[#This Row],[medida]] = "Gramas", 1000, IF(insumos[[#This Row],[medida]] = "Quilos", 1, 0))), "")</f>
        <v>155.5</v>
      </c>
      <c r="I60" s="45">
        <f>IFERROR(insumos[[#This Row],[preço]] / (insumos[quantidade] * IF(insumos[[#This Row],[medida]] = "Gramas", 1, IF(insumos[[#This Row],[medida]] = "Quilos", 1000, 0))), "")</f>
        <v>0.1555</v>
      </c>
      <c r="J60" s="45" t="str">
        <f>IFERROR(insumos[[#This Row],[preço]] / (insumos[quantidade] / IF(insumos[[#This Row],[medida]] = "ML", 1000, IF(insumos[[#This Row],[medida]] = "Litros", 1, 0))), "")</f>
        <v/>
      </c>
      <c r="K60" s="45" t="str">
        <f>IFERROR(insumos[[#This Row],[preço]] / (insumos[quantidade] * IF(insumos[[#This Row],[medida]] = "ML", 1, IF(insumos[[#This Row],[medida]] = "Litros", 1000, 0))), "")</f>
        <v/>
      </c>
    </row>
    <row r="61" spans="2:11">
      <c r="B61">
        <v>49</v>
      </c>
      <c r="C61" t="s">
        <v>225</v>
      </c>
      <c r="D61" s="13">
        <v>49.9</v>
      </c>
      <c r="E61" s="46">
        <v>1000</v>
      </c>
      <c r="F61" t="s">
        <v>58</v>
      </c>
      <c r="G61" s="13">
        <f>IF(insumos[preço] &lt;&gt; "", insumos[[#This Row],[preço]] / IF(insumos[[#This Row],[medida]] = "unidades", insumos[[#This Row],[quantidade]], 1), "")</f>
        <v>49.9</v>
      </c>
      <c r="H61" s="13">
        <f>IFERROR(insumos[[#This Row],[preço]] / (insumos[quantidade] / IF(insumos[[#This Row],[medida]] = "Gramas", 1000, IF(insumos[[#This Row],[medida]] = "Quilos", 1, 0))), "")</f>
        <v>49.9</v>
      </c>
      <c r="I61" s="45">
        <f>IFERROR(insumos[[#This Row],[preço]] / (insumos[quantidade] * IF(insumos[[#This Row],[medida]] = "Gramas", 1, IF(insumos[[#This Row],[medida]] = "Quilos", 1000, 0))), "")</f>
        <v>4.99E-2</v>
      </c>
      <c r="J61" s="45" t="str">
        <f>IFERROR(insumos[[#This Row],[preço]] / (insumos[quantidade] / IF(insumos[[#This Row],[medida]] = "ML", 1000, IF(insumos[[#This Row],[medida]] = "Litros", 1, 0))), "")</f>
        <v/>
      </c>
      <c r="K61" s="45" t="str">
        <f>IFERROR(insumos[[#This Row],[preço]] / (insumos[quantidade] * IF(insumos[[#This Row],[medida]] = "ML", 1, IF(insumos[[#This Row],[medida]] = "Litros", 1000, 0))), "")</f>
        <v/>
      </c>
    </row>
    <row r="62" spans="2:11">
      <c r="B62">
        <v>37</v>
      </c>
      <c r="C62" t="s">
        <v>190</v>
      </c>
      <c r="D62" s="13">
        <v>3.09</v>
      </c>
      <c r="E62" s="46">
        <v>1</v>
      </c>
      <c r="F62" t="s">
        <v>55</v>
      </c>
      <c r="G62" s="13">
        <f>IF(insumos[preço] &lt;&gt; "", insumos[[#This Row],[preço]] / IF(insumos[[#This Row],[medida]] = "unidades", insumos[[#This Row],[quantidade]], 1), "")</f>
        <v>3.09</v>
      </c>
      <c r="H62" s="13" t="str">
        <f>IFERROR(insumos[[#This Row],[preço]] / (insumos[quantidade] / IF(insumos[[#This Row],[medida]] = "Gramas", 1000, IF(insumos[[#This Row],[medida]] = "Quilos", 1, 0))), "")</f>
        <v/>
      </c>
      <c r="I62" s="45" t="str">
        <f>IFERROR(insumos[[#This Row],[preço]] / (insumos[quantidade] * IF(insumos[[#This Row],[medida]] = "Gramas", 1, IF(insumos[[#This Row],[medida]] = "Quilos", 1000, 0))), "")</f>
        <v/>
      </c>
      <c r="J62" s="45" t="str">
        <f>IFERROR(insumos[[#This Row],[preço]] / (insumos[quantidade] / IF(insumos[[#This Row],[medida]] = "ML", 1000, IF(insumos[[#This Row],[medida]] = "Litros", 1, 0))), "")</f>
        <v/>
      </c>
      <c r="K62" s="45" t="str">
        <f>IFERROR(insumos[[#This Row],[preço]] / (insumos[quantidade] * IF(insumos[[#This Row],[medida]] = "ML", 1, IF(insumos[[#This Row],[medida]] = "Litros", 1000, 0))), "")</f>
        <v/>
      </c>
    </row>
    <row r="63" spans="2:11">
      <c r="B63">
        <v>4</v>
      </c>
      <c r="C63" t="s">
        <v>158</v>
      </c>
      <c r="D63" s="13">
        <v>6.99</v>
      </c>
      <c r="E63" s="46">
        <v>1000</v>
      </c>
      <c r="F63" t="s">
        <v>58</v>
      </c>
      <c r="G63" s="13">
        <f>IF(insumos[preço] &lt;&gt; "", insumos[[#This Row],[preço]] / IF(insumos[[#This Row],[medida]] = "unidades", insumos[[#This Row],[quantidade]], 1), "")</f>
        <v>6.99</v>
      </c>
      <c r="H63" s="13">
        <f>IFERROR(insumos[[#This Row],[preço]] / (insumos[quantidade] / IF(insumos[[#This Row],[medida]] = "Gramas", 1000, IF(insumos[[#This Row],[medida]] = "Quilos", 1, 0))), "")</f>
        <v>6.99</v>
      </c>
      <c r="I63" s="45">
        <f>IFERROR(insumos[[#This Row],[preço]] / (insumos[quantidade] * IF(insumos[[#This Row],[medida]] = "Gramas", 1, IF(insumos[[#This Row],[medida]] = "Quilos", 1000, 0))), "")</f>
        <v>6.9900000000000006E-3</v>
      </c>
      <c r="J63" s="45" t="str">
        <f>IFERROR(insumos[[#This Row],[preço]] / (insumos[quantidade] / IF(insumos[[#This Row],[medida]] = "ML", 1000, IF(insumos[[#This Row],[medida]] = "Litros", 1, 0))), "")</f>
        <v/>
      </c>
      <c r="K63" s="45" t="str">
        <f>IFERROR(insumos[[#This Row],[preço]] / (insumos[quantidade] * IF(insumos[[#This Row],[medida]] = "ML", 1, IF(insumos[[#This Row],[medida]] = "Litros", 1000, 0))), "")</f>
        <v/>
      </c>
    </row>
    <row r="64" spans="2:11">
      <c r="B64">
        <v>3</v>
      </c>
      <c r="C64" t="s">
        <v>157</v>
      </c>
      <c r="D64" s="13">
        <v>4.49</v>
      </c>
      <c r="E64" s="46">
        <v>1000</v>
      </c>
      <c r="F64" t="s">
        <v>58</v>
      </c>
      <c r="G64" s="13">
        <f>IF(insumos[preço] &lt;&gt; "", insumos[[#This Row],[preço]] / IF(insumos[[#This Row],[medida]] = "unidades", insumos[[#This Row],[quantidade]], 1), "")</f>
        <v>4.49</v>
      </c>
      <c r="H64" s="13">
        <f>IFERROR(insumos[[#This Row],[preço]] / (insumos[quantidade] / IF(insumos[[#This Row],[medida]] = "Gramas", 1000, IF(insumos[[#This Row],[medida]] = "Quilos", 1, 0))), "")</f>
        <v>4.49</v>
      </c>
      <c r="I64" s="45">
        <f>IFERROR(insumos[[#This Row],[preço]] / (insumos[quantidade] * IF(insumos[[#This Row],[medida]] = "Gramas", 1, IF(insumos[[#This Row],[medida]] = "Quilos", 1000, 0))), "")</f>
        <v>4.4900000000000001E-3</v>
      </c>
      <c r="J64" s="45" t="str">
        <f>IFERROR(insumos[[#This Row],[preço]] / (insumos[quantidade] / IF(insumos[[#This Row],[medida]] = "ML", 1000, IF(insumos[[#This Row],[medida]] = "Litros", 1, 0))), "")</f>
        <v/>
      </c>
      <c r="K64" s="45" t="str">
        <f>IFERROR(insumos[[#This Row],[preço]] / (insumos[quantidade] * IF(insumos[[#This Row],[medida]] = "ML", 1, IF(insumos[[#This Row],[medida]] = "Litros", 1000, 0))), "")</f>
        <v/>
      </c>
    </row>
    <row r="65" spans="2:11">
      <c r="B65">
        <v>19</v>
      </c>
      <c r="C65" t="s">
        <v>173</v>
      </c>
      <c r="D65" s="13">
        <v>2.59</v>
      </c>
      <c r="E65" s="46">
        <v>750</v>
      </c>
      <c r="F65" t="s">
        <v>85</v>
      </c>
      <c r="G65" s="13">
        <f>IF(insumos[preço] &lt;&gt; "", insumos[[#This Row],[preço]] / IF(insumos[[#This Row],[medida]] = "unidades", insumos[[#This Row],[quantidade]], 1), "")</f>
        <v>2.59</v>
      </c>
      <c r="H65" s="13" t="str">
        <f>IFERROR(insumos[[#This Row],[preço]] / (insumos[quantidade] / IF(insumos[[#This Row],[medida]] = "Gramas", 1000, IF(insumos[[#This Row],[medida]] = "Quilos", 1, 0))), "")</f>
        <v/>
      </c>
      <c r="I65" s="45" t="str">
        <f>IFERROR(insumos[[#This Row],[preço]] / (insumos[quantidade] * IF(insumos[[#This Row],[medida]] = "Gramas", 1, IF(insumos[[#This Row],[medida]] = "Quilos", 1000, 0))), "")</f>
        <v/>
      </c>
      <c r="J65" s="45">
        <f>IFERROR(insumos[[#This Row],[preço]] / (insumos[quantidade] / IF(insumos[[#This Row],[medida]] = "ML", 1000, IF(insumos[[#This Row],[medida]] = "Litros", 1, 0))), "")</f>
        <v>3.4533333333333331</v>
      </c>
      <c r="K65" s="45">
        <f>IFERROR(insumos[[#This Row],[preço]] / (insumos[quantidade] * IF(insumos[[#This Row],[medida]] = "ML", 1, IF(insumos[[#This Row],[medida]] = "Litros", 1000, 0))), "")</f>
        <v>3.453333333333333E-3</v>
      </c>
    </row>
    <row r="66" spans="2:11">
      <c r="B66">
        <v>52</v>
      </c>
      <c r="D66" s="13"/>
      <c r="E66" s="46"/>
      <c r="G66" s="13" t="str">
        <f>IF(insumos[preço] &lt;&gt; "", insumos[[#This Row],[preço]] / IF(insumos[[#This Row],[medida]] = "unidades", insumos[[#This Row],[quantidade]], 1), "")</f>
        <v/>
      </c>
      <c r="H66" s="13" t="str">
        <f>IFERROR(insumos[[#This Row],[preço]] / (insumos[quantidade] / IF(insumos[[#This Row],[medida]] = "Gramas", 1000, IF(insumos[[#This Row],[medida]] = "Quilos", 1, 0))), "")</f>
        <v/>
      </c>
      <c r="I66" s="45" t="str">
        <f>IFERROR(insumos[[#This Row],[preço]] / (insumos[quantidade] * IF(insumos[[#This Row],[medida]] = "Gramas", 1, IF(insumos[[#This Row],[medida]] = "Quilos", 1000, 0))), "")</f>
        <v/>
      </c>
      <c r="J66" s="45" t="str">
        <f>IFERROR(insumos[[#This Row],[preço]] / (insumos[quantidade] / IF(insumos[[#This Row],[medida]] = "ML", 1000, IF(insumos[[#This Row],[medida]] = "Litros", 1, 0))), "")</f>
        <v/>
      </c>
      <c r="K66" s="45" t="str">
        <f>IFERROR(insumos[[#This Row],[preço]] / (insumos[quantidade] * IF(insumos[[#This Row],[medida]] = "ML", 1, IF(insumos[[#This Row],[medida]] = "Litros", 1000, 0))), "")</f>
        <v/>
      </c>
    </row>
    <row r="67" spans="2:11">
      <c r="B67">
        <v>53</v>
      </c>
      <c r="D67" s="13"/>
      <c r="E67" s="46"/>
      <c r="G67" s="13" t="str">
        <f>IF(insumos[preço] &lt;&gt; "", insumos[[#This Row],[preço]] / IF(insumos[[#This Row],[medida]] = "unidades", insumos[[#This Row],[quantidade]], 1), "")</f>
        <v/>
      </c>
      <c r="H67" s="13" t="str">
        <f>IFERROR(insumos[[#This Row],[preço]] / (insumos[quantidade] / IF(insumos[[#This Row],[medida]] = "Gramas", 1000, IF(insumos[[#This Row],[medida]] = "Quilos", 1, 0))), "")</f>
        <v/>
      </c>
      <c r="I67" s="45" t="str">
        <f>IFERROR(insumos[[#This Row],[preço]] / (insumos[quantidade] * IF(insumos[[#This Row],[medida]] = "Gramas", 1, IF(insumos[[#This Row],[medida]] = "Quilos", 1000, 0))), "")</f>
        <v/>
      </c>
      <c r="J67" s="45" t="str">
        <f>IFERROR(insumos[[#This Row],[preço]] / (insumos[quantidade] / IF(insumos[[#This Row],[medida]] = "ML", 1000, IF(insumos[[#This Row],[medida]] = "Litros", 1, 0))), "")</f>
        <v/>
      </c>
      <c r="K67" s="45" t="str">
        <f>IFERROR(insumos[[#This Row],[preço]] / (insumos[quantidade] * IF(insumos[[#This Row],[medida]] = "ML", 1, IF(insumos[[#This Row],[medida]] = "Litros", 1000, 0))), "")</f>
        <v/>
      </c>
    </row>
    <row r="68" spans="2:11">
      <c r="B68">
        <v>54</v>
      </c>
      <c r="D68" s="13"/>
      <c r="E68" s="46"/>
      <c r="G68" s="13" t="str">
        <f>IF(insumos[preço] &lt;&gt; "", insumos[[#This Row],[preço]] / IF(insumos[[#This Row],[medida]] = "unidades", insumos[[#This Row],[quantidade]], 1), "")</f>
        <v/>
      </c>
      <c r="H68" s="13" t="str">
        <f>IFERROR(insumos[[#This Row],[preço]] / (insumos[quantidade] / IF(insumos[[#This Row],[medida]] = "Gramas", 1000, IF(insumos[[#This Row],[medida]] = "Quilos", 1, 0))), "")</f>
        <v/>
      </c>
      <c r="I68" s="45" t="str">
        <f>IFERROR(insumos[[#This Row],[preço]] / (insumos[quantidade] * IF(insumos[[#This Row],[medida]] = "Gramas", 1, IF(insumos[[#This Row],[medida]] = "Quilos", 1000, 0))), "")</f>
        <v/>
      </c>
      <c r="J68" s="45" t="str">
        <f>IFERROR(insumos[[#This Row],[preço]] / (insumos[quantidade] / IF(insumos[[#This Row],[medida]] = "ML", 1000, IF(insumos[[#This Row],[medida]] = "Litros", 1, 0))), "")</f>
        <v/>
      </c>
      <c r="K68" s="45" t="str">
        <f>IFERROR(insumos[[#This Row],[preço]] / (insumos[quantidade] * IF(insumos[[#This Row],[medida]] = "ML", 1, IF(insumos[[#This Row],[medida]] = "Litros", 1000, 0))), "")</f>
        <v/>
      </c>
    </row>
    <row r="69" spans="2:11">
      <c r="B69">
        <v>55</v>
      </c>
      <c r="D69" s="13"/>
      <c r="E69" s="46"/>
      <c r="G69" s="13" t="str">
        <f>IF(insumos[preço] &lt;&gt; "", insumos[[#This Row],[preço]] / IF(insumos[[#This Row],[medida]] = "unidades", insumos[[#This Row],[quantidade]], 1), "")</f>
        <v/>
      </c>
      <c r="H69" s="13" t="str">
        <f>IFERROR(insumos[[#This Row],[preço]] / (insumos[quantidade] / IF(insumos[[#This Row],[medida]] = "Gramas", 1000, IF(insumos[[#This Row],[medida]] = "Quilos", 1, 0))), "")</f>
        <v/>
      </c>
      <c r="I69" s="45" t="str">
        <f>IFERROR(insumos[[#This Row],[preço]] / (insumos[quantidade] * IF(insumos[[#This Row],[medida]] = "Gramas", 1, IF(insumos[[#This Row],[medida]] = "Quilos", 1000, 0))), "")</f>
        <v/>
      </c>
      <c r="J69" s="45" t="str">
        <f>IFERROR(insumos[[#This Row],[preço]] / (insumos[quantidade] / IF(insumos[[#This Row],[medida]] = "ML", 1000, IF(insumos[[#This Row],[medida]] = "Litros", 1, 0))), "")</f>
        <v/>
      </c>
      <c r="K69" s="45" t="str">
        <f>IFERROR(insumos[[#This Row],[preço]] / (insumos[quantidade] * IF(insumos[[#This Row],[medida]] = "ML", 1, IF(insumos[[#This Row],[medida]] = "Litros", 1000, 0))), "")</f>
        <v/>
      </c>
    </row>
    <row r="70" spans="2:11">
      <c r="B70">
        <v>56</v>
      </c>
      <c r="D70" s="13"/>
      <c r="E70" s="46"/>
      <c r="G70" s="13" t="str">
        <f>IF(insumos[preço] &lt;&gt; "", insumos[[#This Row],[preço]] / IF(insumos[[#This Row],[medida]] = "unidades", insumos[[#This Row],[quantidade]], 1), "")</f>
        <v/>
      </c>
      <c r="H70" s="13" t="str">
        <f>IFERROR(insumos[[#This Row],[preço]] / (insumos[quantidade] / IF(insumos[[#This Row],[medida]] = "Gramas", 1000, IF(insumos[[#This Row],[medida]] = "Quilos", 1, 0))), "")</f>
        <v/>
      </c>
      <c r="I70" s="45" t="str">
        <f>IFERROR(insumos[[#This Row],[preço]] / (insumos[quantidade] * IF(insumos[[#This Row],[medida]] = "Gramas", 1, IF(insumos[[#This Row],[medida]] = "Quilos", 1000, 0))), "")</f>
        <v/>
      </c>
      <c r="J70" s="45" t="str">
        <f>IFERROR(insumos[[#This Row],[preço]] / (insumos[quantidade] / IF(insumos[[#This Row],[medida]] = "ML", 1000, IF(insumos[[#This Row],[medida]] = "Litros", 1, 0))), "")</f>
        <v/>
      </c>
      <c r="K70" s="45" t="str">
        <f>IFERROR(insumos[[#This Row],[preço]] / (insumos[quantidade] * IF(insumos[[#This Row],[medida]] = "ML", 1, IF(insumos[[#This Row],[medida]] = "Litros", 1000, 0))), "")</f>
        <v/>
      </c>
    </row>
    <row r="71" spans="2:11">
      <c r="B71">
        <v>57</v>
      </c>
      <c r="D71" s="13"/>
      <c r="E71" s="46"/>
      <c r="G71" s="13" t="str">
        <f>IF(insumos[preço] &lt;&gt; "", insumos[[#This Row],[preço]] / IF(insumos[[#This Row],[medida]] = "unidades", insumos[[#This Row],[quantidade]], 1), "")</f>
        <v/>
      </c>
      <c r="H71" s="13" t="str">
        <f>IFERROR(insumos[[#This Row],[preço]] / (insumos[quantidade] / IF(insumos[[#This Row],[medida]] = "Gramas", 1000, IF(insumos[[#This Row],[medida]] = "Quilos", 1, 0))), "")</f>
        <v/>
      </c>
      <c r="I71" s="45" t="str">
        <f>IFERROR(insumos[[#This Row],[preço]] / (insumos[quantidade] * IF(insumos[[#This Row],[medida]] = "Gramas", 1, IF(insumos[[#This Row],[medida]] = "Quilos", 1000, 0))), "")</f>
        <v/>
      </c>
      <c r="J71" s="45" t="str">
        <f>IFERROR(insumos[[#This Row],[preço]] / (insumos[quantidade] / IF(insumos[[#This Row],[medida]] = "ML", 1000, IF(insumos[[#This Row],[medida]] = "Litros", 1, 0))), "")</f>
        <v/>
      </c>
      <c r="K71" s="45" t="str">
        <f>IFERROR(insumos[[#This Row],[preço]] / (insumos[quantidade] * IF(insumos[[#This Row],[medida]] = "ML", 1, IF(insumos[[#This Row],[medida]] = "Litros", 1000, 0))), "")</f>
        <v/>
      </c>
    </row>
    <row r="72" spans="2:11">
      <c r="B72">
        <v>58</v>
      </c>
      <c r="D72" s="13"/>
      <c r="E72" s="46"/>
      <c r="G72" s="13" t="str">
        <f>IF(insumos[preço] &lt;&gt; "", insumos[[#This Row],[preço]] / IF(insumos[[#This Row],[medida]] = "unidades", insumos[[#This Row],[quantidade]], 1), "")</f>
        <v/>
      </c>
      <c r="H72" s="13" t="str">
        <f>IFERROR(insumos[[#This Row],[preço]] / (insumos[quantidade] / IF(insumos[[#This Row],[medida]] = "Gramas", 1000, IF(insumos[[#This Row],[medida]] = "Quilos", 1, 0))), "")</f>
        <v/>
      </c>
      <c r="I72" s="45" t="str">
        <f>IFERROR(insumos[[#This Row],[preço]] / (insumos[quantidade] * IF(insumos[[#This Row],[medida]] = "Gramas", 1, IF(insumos[[#This Row],[medida]] = "Quilos", 1000, 0))), "")</f>
        <v/>
      </c>
      <c r="J72" s="45" t="str">
        <f>IFERROR(insumos[[#This Row],[preço]] / (insumos[quantidade] / IF(insumos[[#This Row],[medida]] = "ML", 1000, IF(insumos[[#This Row],[medida]] = "Litros", 1, 0))), "")</f>
        <v/>
      </c>
      <c r="K72" s="45" t="str">
        <f>IFERROR(insumos[[#This Row],[preço]] / (insumos[quantidade] * IF(insumos[[#This Row],[medida]] = "ML", 1, IF(insumos[[#This Row],[medida]] = "Litros", 1000, 0))), "")</f>
        <v/>
      </c>
    </row>
    <row r="73" spans="2:11">
      <c r="B73">
        <v>59</v>
      </c>
      <c r="D73" s="13"/>
      <c r="E73" s="46"/>
      <c r="G73" s="13" t="str">
        <f>IF(insumos[preço] &lt;&gt; "", insumos[[#This Row],[preço]] / IF(insumos[[#This Row],[medida]] = "unidades", insumos[[#This Row],[quantidade]], 1), "")</f>
        <v/>
      </c>
      <c r="H73" s="13" t="str">
        <f>IFERROR(insumos[[#This Row],[preço]] / (insumos[quantidade] / IF(insumos[[#This Row],[medida]] = "Gramas", 1000, IF(insumos[[#This Row],[medida]] = "Quilos", 1, 0))), "")</f>
        <v/>
      </c>
      <c r="I73" s="45" t="str">
        <f>IFERROR(insumos[[#This Row],[preço]] / (insumos[quantidade] * IF(insumos[[#This Row],[medida]] = "Gramas", 1, IF(insumos[[#This Row],[medida]] = "Quilos", 1000, 0))), "")</f>
        <v/>
      </c>
      <c r="J73" s="45" t="str">
        <f>IFERROR(insumos[[#This Row],[preço]] / (insumos[quantidade] / IF(insumos[[#This Row],[medida]] = "ML", 1000, IF(insumos[[#This Row],[medida]] = "Litros", 1, 0))), "")</f>
        <v/>
      </c>
      <c r="K73" s="45" t="str">
        <f>IFERROR(insumos[[#This Row],[preço]] / (insumos[quantidade] * IF(insumos[[#This Row],[medida]] = "ML", 1, IF(insumos[[#This Row],[medida]] = "Litros", 1000, 0))), "")</f>
        <v/>
      </c>
    </row>
    <row r="74" spans="2:11">
      <c r="B74">
        <v>60</v>
      </c>
      <c r="D74" s="13"/>
      <c r="E74" s="46"/>
      <c r="G74" s="13" t="str">
        <f>IF(insumos[preço] &lt;&gt; "", insumos[[#This Row],[preço]] / IF(insumos[[#This Row],[medida]] = "unidades", insumos[[#This Row],[quantidade]], 1), "")</f>
        <v/>
      </c>
      <c r="H74" s="13" t="str">
        <f>IFERROR(insumos[[#This Row],[preço]] / (insumos[quantidade] / IF(insumos[[#This Row],[medida]] = "Gramas", 1000, IF(insumos[[#This Row],[medida]] = "Quilos", 1, 0))), "")</f>
        <v/>
      </c>
      <c r="I74" s="45" t="str">
        <f>IFERROR(insumos[[#This Row],[preço]] / (insumos[quantidade] * IF(insumos[[#This Row],[medida]] = "Gramas", 1, IF(insumos[[#This Row],[medida]] = "Quilos", 1000, 0))), "")</f>
        <v/>
      </c>
      <c r="J74" s="45" t="str">
        <f>IFERROR(insumos[[#This Row],[preço]] / (insumos[quantidade] / IF(insumos[[#This Row],[medida]] = "ML", 1000, IF(insumos[[#This Row],[medida]] = "Litros", 1, 0))), "")</f>
        <v/>
      </c>
      <c r="K74" s="45" t="str">
        <f>IFERROR(insumos[[#This Row],[preço]] / (insumos[quantidade] * IF(insumos[[#This Row],[medida]] = "ML", 1, IF(insumos[[#This Row],[medida]] = "Litros", 1000, 0))), "")</f>
        <v/>
      </c>
    </row>
    <row r="75" spans="2:11">
      <c r="B75">
        <v>61</v>
      </c>
      <c r="D75" s="13"/>
      <c r="E75" s="46"/>
      <c r="G75" s="13" t="str">
        <f>IF(insumos[preço] &lt;&gt; "", insumos[[#This Row],[preço]] / IF(insumos[[#This Row],[medida]] = "unidades", insumos[[#This Row],[quantidade]], 1), "")</f>
        <v/>
      </c>
      <c r="H75" s="13" t="str">
        <f>IFERROR(insumos[[#This Row],[preço]] / (insumos[quantidade] / IF(insumos[[#This Row],[medida]] = "Gramas", 1000, IF(insumos[[#This Row],[medida]] = "Quilos", 1, 0))), "")</f>
        <v/>
      </c>
      <c r="I75" s="45" t="str">
        <f>IFERROR(insumos[[#This Row],[preço]] / (insumos[quantidade] * IF(insumos[[#This Row],[medida]] = "Gramas", 1, IF(insumos[[#This Row],[medida]] = "Quilos", 1000, 0))), "")</f>
        <v/>
      </c>
      <c r="J75" s="45" t="str">
        <f>IFERROR(insumos[[#This Row],[preço]] / (insumos[quantidade] / IF(insumos[[#This Row],[medida]] = "ML", 1000, IF(insumos[[#This Row],[medida]] = "Litros", 1, 0))), "")</f>
        <v/>
      </c>
      <c r="K75" s="45" t="str">
        <f>IFERROR(insumos[[#This Row],[preço]] / (insumos[quantidade] * IF(insumos[[#This Row],[medida]] = "ML", 1, IF(insumos[[#This Row],[medida]] = "Litros", 1000, 0))), "")</f>
        <v/>
      </c>
    </row>
    <row r="76" spans="2:11">
      <c r="B76">
        <v>62</v>
      </c>
      <c r="D76" s="13"/>
      <c r="E76" s="46"/>
      <c r="G76" s="13" t="str">
        <f>IF(insumos[preço] &lt;&gt; "", insumos[[#This Row],[preço]] / IF(insumos[[#This Row],[medida]] = "unidades", insumos[[#This Row],[quantidade]], 1), "")</f>
        <v/>
      </c>
      <c r="H76" s="13" t="str">
        <f>IFERROR(insumos[[#This Row],[preço]] / (insumos[quantidade] / IF(insumos[[#This Row],[medida]] = "Gramas", 1000, IF(insumos[[#This Row],[medida]] = "Quilos", 1, 0))), "")</f>
        <v/>
      </c>
      <c r="I76" s="45" t="str">
        <f>IFERROR(insumos[[#This Row],[preço]] / (insumos[quantidade] * IF(insumos[[#This Row],[medida]] = "Gramas", 1, IF(insumos[[#This Row],[medida]] = "Quilos", 1000, 0))), "")</f>
        <v/>
      </c>
      <c r="J76" s="45" t="str">
        <f>IFERROR(insumos[[#This Row],[preço]] / (insumos[quantidade] / IF(insumos[[#This Row],[medida]] = "ML", 1000, IF(insumos[[#This Row],[medida]] = "Litros", 1, 0))), "")</f>
        <v/>
      </c>
      <c r="K76" s="45" t="str">
        <f>IFERROR(insumos[[#This Row],[preço]] / (insumos[quantidade] * IF(insumos[[#This Row],[medida]] = "ML", 1, IF(insumos[[#This Row],[medida]] = "Litros", 1000, 0))), "")</f>
        <v/>
      </c>
    </row>
    <row r="77" spans="2:11">
      <c r="B77">
        <v>63</v>
      </c>
      <c r="D77" s="13"/>
      <c r="E77" s="46"/>
      <c r="G77" s="13" t="str">
        <f>IF(insumos[preço] &lt;&gt; "", insumos[[#This Row],[preço]] / IF(insumos[[#This Row],[medida]] = "unidades", insumos[[#This Row],[quantidade]], 1), "")</f>
        <v/>
      </c>
      <c r="H77" s="13" t="str">
        <f>IFERROR(insumos[[#This Row],[preço]] / (insumos[quantidade] / IF(insumos[[#This Row],[medida]] = "Gramas", 1000, IF(insumos[[#This Row],[medida]] = "Quilos", 1, 0))), "")</f>
        <v/>
      </c>
      <c r="I77" s="45" t="str">
        <f>IFERROR(insumos[[#This Row],[preço]] / (insumos[quantidade] * IF(insumos[[#This Row],[medida]] = "Gramas", 1, IF(insumos[[#This Row],[medida]] = "Quilos", 1000, 0))), "")</f>
        <v/>
      </c>
      <c r="J77" s="45" t="str">
        <f>IFERROR(insumos[[#This Row],[preço]] / (insumos[quantidade] / IF(insumos[[#This Row],[medida]] = "ML", 1000, IF(insumos[[#This Row],[medida]] = "Litros", 1, 0))), "")</f>
        <v/>
      </c>
      <c r="K77" s="45" t="str">
        <f>IFERROR(insumos[[#This Row],[preço]] / (insumos[quantidade] * IF(insumos[[#This Row],[medida]] = "ML", 1, IF(insumos[[#This Row],[medida]] = "Litros", 1000, 0))), "")</f>
        <v/>
      </c>
    </row>
    <row r="78" spans="2:11">
      <c r="B78">
        <v>64</v>
      </c>
      <c r="D78" s="13"/>
      <c r="E78" s="46"/>
      <c r="G78" s="13" t="str">
        <f>IF(insumos[preço] &lt;&gt; "", insumos[[#This Row],[preço]] / IF(insumos[[#This Row],[medida]] = "unidades", insumos[[#This Row],[quantidade]], 1), "")</f>
        <v/>
      </c>
      <c r="H78" s="13" t="str">
        <f>IFERROR(insumos[[#This Row],[preço]] / (insumos[quantidade] / IF(insumos[[#This Row],[medida]] = "Gramas", 1000, IF(insumos[[#This Row],[medida]] = "Quilos", 1, 0))), "")</f>
        <v/>
      </c>
      <c r="I78" s="45" t="str">
        <f>IFERROR(insumos[[#This Row],[preço]] / (insumos[quantidade] * IF(insumos[[#This Row],[medida]] = "Gramas", 1, IF(insumos[[#This Row],[medida]] = "Quilos", 1000, 0))), "")</f>
        <v/>
      </c>
      <c r="J78" s="45" t="str">
        <f>IFERROR(insumos[[#This Row],[preço]] / (insumos[quantidade] / IF(insumos[[#This Row],[medida]] = "ML", 1000, IF(insumos[[#This Row],[medida]] = "Litros", 1, 0))), "")</f>
        <v/>
      </c>
      <c r="K78" s="45" t="str">
        <f>IFERROR(insumos[[#This Row],[preço]] / (insumos[quantidade] * IF(insumos[[#This Row],[medida]] = "ML", 1, IF(insumos[[#This Row],[medida]] = "Litros", 1000, 0))), "")</f>
        <v/>
      </c>
    </row>
    <row r="79" spans="2:11">
      <c r="B79">
        <v>65</v>
      </c>
      <c r="D79" s="13"/>
      <c r="E79" s="46"/>
      <c r="G79" s="13" t="str">
        <f>IF(insumos[preço] &lt;&gt; "", insumos[[#This Row],[preço]] / IF(insumos[[#This Row],[medida]] = "unidades", insumos[[#This Row],[quantidade]], 1), "")</f>
        <v/>
      </c>
      <c r="H79" s="13" t="str">
        <f>IFERROR(insumos[[#This Row],[preço]] / (insumos[quantidade] / IF(insumos[[#This Row],[medida]] = "Gramas", 1000, IF(insumos[[#This Row],[medida]] = "Quilos", 1, 0))), "")</f>
        <v/>
      </c>
      <c r="I79" s="45" t="str">
        <f>IFERROR(insumos[[#This Row],[preço]] / (insumos[quantidade] * IF(insumos[[#This Row],[medida]] = "Gramas", 1, IF(insumos[[#This Row],[medida]] = "Quilos", 1000, 0))), "")</f>
        <v/>
      </c>
      <c r="J79" s="45" t="str">
        <f>IFERROR(insumos[[#This Row],[preço]] / (insumos[quantidade] / IF(insumos[[#This Row],[medida]] = "ML", 1000, IF(insumos[[#This Row],[medida]] = "Litros", 1, 0))), "")</f>
        <v/>
      </c>
      <c r="K79" s="45" t="str">
        <f>IFERROR(insumos[[#This Row],[preço]] / (insumos[quantidade] * IF(insumos[[#This Row],[medida]] = "ML", 1, IF(insumos[[#This Row],[medida]] = "Litros", 1000, 0))), "")</f>
        <v/>
      </c>
    </row>
    <row r="80" spans="2:11">
      <c r="B80">
        <v>66</v>
      </c>
      <c r="D80" s="13"/>
      <c r="E80" s="46"/>
      <c r="G80" s="13" t="str">
        <f>IF(insumos[preço] &lt;&gt; "", insumos[[#This Row],[preço]] / IF(insumos[[#This Row],[medida]] = "unidades", insumos[[#This Row],[quantidade]], 1), "")</f>
        <v/>
      </c>
      <c r="H80" s="13" t="str">
        <f>IFERROR(insumos[[#This Row],[preço]] / (insumos[quantidade] / IF(insumos[[#This Row],[medida]] = "Gramas", 1000, IF(insumos[[#This Row],[medida]] = "Quilos", 1, 0))), "")</f>
        <v/>
      </c>
      <c r="I80" s="45" t="str">
        <f>IFERROR(insumos[[#This Row],[preço]] / (insumos[quantidade] * IF(insumos[[#This Row],[medida]] = "Gramas", 1, IF(insumos[[#This Row],[medida]] = "Quilos", 1000, 0))), "")</f>
        <v/>
      </c>
      <c r="J80" s="45" t="str">
        <f>IFERROR(insumos[[#This Row],[preço]] / (insumos[quantidade] / IF(insumos[[#This Row],[medida]] = "ML", 1000, IF(insumos[[#This Row],[medida]] = "Litros", 1, 0))), "")</f>
        <v/>
      </c>
      <c r="K80" s="45" t="str">
        <f>IFERROR(insumos[[#This Row],[preço]] / (insumos[quantidade] * IF(insumos[[#This Row],[medida]] = "ML", 1, IF(insumos[[#This Row],[medida]] = "Litros", 1000, 0))), "")</f>
        <v/>
      </c>
    </row>
    <row r="81" spans="2:11">
      <c r="B81">
        <v>67</v>
      </c>
      <c r="D81" s="13"/>
      <c r="E81" s="46"/>
      <c r="G81" s="13" t="str">
        <f>IF(insumos[preço] &lt;&gt; "", insumos[[#This Row],[preço]] / IF(insumos[[#This Row],[medida]] = "unidades", insumos[[#This Row],[quantidade]], 1), "")</f>
        <v/>
      </c>
      <c r="H81" s="13" t="str">
        <f>IFERROR(insumos[[#This Row],[preço]] / (insumos[quantidade] / IF(insumos[[#This Row],[medida]] = "Gramas", 1000, IF(insumos[[#This Row],[medida]] = "Quilos", 1, 0))), "")</f>
        <v/>
      </c>
      <c r="I81" s="45" t="str">
        <f>IFERROR(insumos[[#This Row],[preço]] / (insumos[quantidade] * IF(insumos[[#This Row],[medida]] = "Gramas", 1, IF(insumos[[#This Row],[medida]] = "Quilos", 1000, 0))), "")</f>
        <v/>
      </c>
      <c r="J81" s="45" t="str">
        <f>IFERROR(insumos[[#This Row],[preço]] / (insumos[quantidade] / IF(insumos[[#This Row],[medida]] = "ML", 1000, IF(insumos[[#This Row],[medida]] = "Litros", 1, 0))), "")</f>
        <v/>
      </c>
      <c r="K81" s="45" t="str">
        <f>IFERROR(insumos[[#This Row],[preço]] / (insumos[quantidade] * IF(insumos[[#This Row],[medida]] = "ML", 1, IF(insumos[[#This Row],[medida]] = "Litros", 1000, 0))), "")</f>
        <v/>
      </c>
    </row>
    <row r="82" spans="2:11">
      <c r="B82">
        <v>68</v>
      </c>
      <c r="D82" s="13"/>
      <c r="E82" s="46"/>
      <c r="G82" s="13" t="str">
        <f>IF(insumos[preço] &lt;&gt; "", insumos[[#This Row],[preço]] / IF(insumos[[#This Row],[medida]] = "unidades", insumos[[#This Row],[quantidade]], 1), "")</f>
        <v/>
      </c>
      <c r="H82" s="13" t="str">
        <f>IFERROR(insumos[[#This Row],[preço]] / (insumos[quantidade] / IF(insumos[[#This Row],[medida]] = "Gramas", 1000, IF(insumos[[#This Row],[medida]] = "Quilos", 1, 0))), "")</f>
        <v/>
      </c>
      <c r="I82" s="45" t="str">
        <f>IFERROR(insumos[[#This Row],[preço]] / (insumos[quantidade] * IF(insumos[[#This Row],[medida]] = "Gramas", 1, IF(insumos[[#This Row],[medida]] = "Quilos", 1000, 0))), "")</f>
        <v/>
      </c>
      <c r="J82" s="45" t="str">
        <f>IFERROR(insumos[[#This Row],[preço]] / (insumos[quantidade] / IF(insumos[[#This Row],[medida]] = "ML", 1000, IF(insumos[[#This Row],[medida]] = "Litros", 1, 0))), "")</f>
        <v/>
      </c>
      <c r="K82" s="45" t="str">
        <f>IFERROR(insumos[[#This Row],[preço]] / (insumos[quantidade] * IF(insumos[[#This Row],[medida]] = "ML", 1, IF(insumos[[#This Row],[medida]] = "Litros", 1000, 0))), "")</f>
        <v/>
      </c>
    </row>
    <row r="83" spans="2:11">
      <c r="B83">
        <v>69</v>
      </c>
      <c r="D83" s="13"/>
      <c r="E83" s="46"/>
      <c r="G83" s="13" t="str">
        <f>IF(insumos[preço] &lt;&gt; "", insumos[[#This Row],[preço]] / IF(insumos[[#This Row],[medida]] = "unidades", insumos[[#This Row],[quantidade]], 1), "")</f>
        <v/>
      </c>
      <c r="H83" s="13" t="str">
        <f>IFERROR(insumos[[#This Row],[preço]] / (insumos[quantidade] / IF(insumos[[#This Row],[medida]] = "Gramas", 1000, IF(insumos[[#This Row],[medida]] = "Quilos", 1, 0))), "")</f>
        <v/>
      </c>
      <c r="I83" s="45" t="str">
        <f>IFERROR(insumos[[#This Row],[preço]] / (insumos[quantidade] * IF(insumos[[#This Row],[medida]] = "Gramas", 1, IF(insumos[[#This Row],[medida]] = "Quilos", 1000, 0))), "")</f>
        <v/>
      </c>
      <c r="J83" s="45" t="str">
        <f>IFERROR(insumos[[#This Row],[preço]] / (insumos[quantidade] / IF(insumos[[#This Row],[medida]] = "ML", 1000, IF(insumos[[#This Row],[medida]] = "Litros", 1, 0))), "")</f>
        <v/>
      </c>
      <c r="K83" s="45" t="str">
        <f>IFERROR(insumos[[#This Row],[preço]] / (insumos[quantidade] * IF(insumos[[#This Row],[medida]] = "ML", 1, IF(insumos[[#This Row],[medida]] = "Litros", 1000, 0))), "")</f>
        <v/>
      </c>
    </row>
    <row r="84" spans="2:11">
      <c r="B84">
        <v>70</v>
      </c>
      <c r="D84" s="13"/>
      <c r="E84" s="46"/>
      <c r="G84" s="13" t="str">
        <f>IF(insumos[preço] &lt;&gt; "", insumos[[#This Row],[preço]] / IF(insumos[[#This Row],[medida]] = "unidades", insumos[[#This Row],[quantidade]], 1), "")</f>
        <v/>
      </c>
      <c r="H84" s="13" t="str">
        <f>IFERROR(insumos[[#This Row],[preço]] / (insumos[quantidade] / IF(insumos[[#This Row],[medida]] = "Gramas", 1000, IF(insumos[[#This Row],[medida]] = "Quilos", 1, 0))), "")</f>
        <v/>
      </c>
      <c r="I84" s="45" t="str">
        <f>IFERROR(insumos[[#This Row],[preço]] / (insumos[quantidade] * IF(insumos[[#This Row],[medida]] = "Gramas", 1, IF(insumos[[#This Row],[medida]] = "Quilos", 1000, 0))), "")</f>
        <v/>
      </c>
      <c r="J84" s="45" t="str">
        <f>IFERROR(insumos[[#This Row],[preço]] / (insumos[quantidade] / IF(insumos[[#This Row],[medida]] = "ML", 1000, IF(insumos[[#This Row],[medida]] = "Litros", 1, 0))), "")</f>
        <v/>
      </c>
      <c r="K84" s="45" t="str">
        <f>IFERROR(insumos[[#This Row],[preço]] / (insumos[quantidade] * IF(insumos[[#This Row],[medida]] = "ML", 1, IF(insumos[[#This Row],[medida]] = "Litros", 1000, 0))), "")</f>
        <v/>
      </c>
    </row>
    <row r="85" spans="2:11">
      <c r="B85">
        <v>71</v>
      </c>
      <c r="D85" s="13"/>
      <c r="E85" s="46"/>
      <c r="G85" s="13" t="str">
        <f>IF(insumos[preço] &lt;&gt; "", insumos[[#This Row],[preço]] / IF(insumos[[#This Row],[medida]] = "unidades", insumos[[#This Row],[quantidade]], 1), "")</f>
        <v/>
      </c>
      <c r="H85" s="13" t="str">
        <f>IFERROR(insumos[[#This Row],[preço]] / (insumos[quantidade] / IF(insumos[[#This Row],[medida]] = "Gramas", 1000, IF(insumos[[#This Row],[medida]] = "Quilos", 1, 0))), "")</f>
        <v/>
      </c>
      <c r="I85" s="45" t="str">
        <f>IFERROR(insumos[[#This Row],[preço]] / (insumos[quantidade] * IF(insumos[[#This Row],[medida]] = "Gramas", 1, IF(insumos[[#This Row],[medida]] = "Quilos", 1000, 0))), "")</f>
        <v/>
      </c>
      <c r="J85" s="45" t="str">
        <f>IFERROR(insumos[[#This Row],[preço]] / (insumos[quantidade] / IF(insumos[[#This Row],[medida]] = "ML", 1000, IF(insumos[[#This Row],[medida]] = "Litros", 1, 0))), "")</f>
        <v/>
      </c>
      <c r="K85" s="45" t="str">
        <f>IFERROR(insumos[[#This Row],[preço]] / (insumos[quantidade] * IF(insumos[[#This Row],[medida]] = "ML", 1, IF(insumos[[#This Row],[medida]] = "Litros", 1000, 0))), "")</f>
        <v/>
      </c>
    </row>
    <row r="86" spans="2:11">
      <c r="B86">
        <v>72</v>
      </c>
      <c r="D86" s="13"/>
      <c r="E86" s="46"/>
      <c r="G86" s="13" t="str">
        <f>IF(insumos[preço] &lt;&gt; "", insumos[[#This Row],[preço]] / IF(insumos[[#This Row],[medida]] = "unidades", insumos[[#This Row],[quantidade]], 1), "")</f>
        <v/>
      </c>
      <c r="H86" s="13" t="str">
        <f>IFERROR(insumos[[#This Row],[preço]] / (insumos[quantidade] / IF(insumos[[#This Row],[medida]] = "Gramas", 1000, IF(insumos[[#This Row],[medida]] = "Quilos", 1, 0))), "")</f>
        <v/>
      </c>
      <c r="I86" s="45" t="str">
        <f>IFERROR(insumos[[#This Row],[preço]] / (insumos[quantidade] * IF(insumos[[#This Row],[medida]] = "Gramas", 1, IF(insumos[[#This Row],[medida]] = "Quilos", 1000, 0))), "")</f>
        <v/>
      </c>
      <c r="J86" s="45" t="str">
        <f>IFERROR(insumos[[#This Row],[preço]] / (insumos[quantidade] / IF(insumos[[#This Row],[medida]] = "ML", 1000, IF(insumos[[#This Row],[medida]] = "Litros", 1, 0))), "")</f>
        <v/>
      </c>
      <c r="K86" s="45" t="str">
        <f>IFERROR(insumos[[#This Row],[preço]] / (insumos[quantidade] * IF(insumos[[#This Row],[medida]] = "ML", 1, IF(insumos[[#This Row],[medida]] = "Litros", 1000, 0))), "")</f>
        <v/>
      </c>
    </row>
    <row r="87" spans="2:11">
      <c r="B87">
        <v>73</v>
      </c>
      <c r="D87" s="13"/>
      <c r="E87" s="46"/>
      <c r="G87" s="13" t="str">
        <f>IF(insumos[preço] &lt;&gt; "", insumos[[#This Row],[preço]] / IF(insumos[[#This Row],[medida]] = "unidades", insumos[[#This Row],[quantidade]], 1), "")</f>
        <v/>
      </c>
      <c r="H87" s="13" t="str">
        <f>IFERROR(insumos[[#This Row],[preço]] / (insumos[quantidade] / IF(insumos[[#This Row],[medida]] = "Gramas", 1000, IF(insumos[[#This Row],[medida]] = "Quilos", 1, 0))), "")</f>
        <v/>
      </c>
      <c r="I87" s="45" t="str">
        <f>IFERROR(insumos[[#This Row],[preço]] / (insumos[quantidade] * IF(insumos[[#This Row],[medida]] = "Gramas", 1, IF(insumos[[#This Row],[medida]] = "Quilos", 1000, 0))), "")</f>
        <v/>
      </c>
      <c r="J87" s="45" t="str">
        <f>IFERROR(insumos[[#This Row],[preço]] / (insumos[quantidade] / IF(insumos[[#This Row],[medida]] = "ML", 1000, IF(insumos[[#This Row],[medida]] = "Litros", 1, 0))), "")</f>
        <v/>
      </c>
      <c r="K87" s="45" t="str">
        <f>IFERROR(insumos[[#This Row],[preço]] / (insumos[quantidade] * IF(insumos[[#This Row],[medida]] = "ML", 1, IF(insumos[[#This Row],[medida]] = "Litros", 1000, 0))), "")</f>
        <v/>
      </c>
    </row>
    <row r="88" spans="2:11">
      <c r="B88">
        <v>74</v>
      </c>
      <c r="D88" s="13"/>
      <c r="E88" s="46"/>
      <c r="G88" s="13" t="str">
        <f>IF(insumos[preço] &lt;&gt; "", insumos[[#This Row],[preço]] / IF(insumos[[#This Row],[medida]] = "unidades", insumos[[#This Row],[quantidade]], 1), "")</f>
        <v/>
      </c>
      <c r="H88" s="13" t="str">
        <f>IFERROR(insumos[[#This Row],[preço]] / (insumos[quantidade] / IF(insumos[[#This Row],[medida]] = "Gramas", 1000, IF(insumos[[#This Row],[medida]] = "Quilos", 1, 0))), "")</f>
        <v/>
      </c>
      <c r="I88" s="45" t="str">
        <f>IFERROR(insumos[[#This Row],[preço]] / (insumos[quantidade] * IF(insumos[[#This Row],[medida]] = "Gramas", 1, IF(insumos[[#This Row],[medida]] = "Quilos", 1000, 0))), "")</f>
        <v/>
      </c>
      <c r="J88" s="45" t="str">
        <f>IFERROR(insumos[[#This Row],[preço]] / (insumos[quantidade] / IF(insumos[[#This Row],[medida]] = "ML", 1000, IF(insumos[[#This Row],[medida]] = "Litros", 1, 0))), "")</f>
        <v/>
      </c>
      <c r="K88" s="45" t="str">
        <f>IFERROR(insumos[[#This Row],[preço]] / (insumos[quantidade] * IF(insumos[[#This Row],[medida]] = "ML", 1, IF(insumos[[#This Row],[medida]] = "Litros", 1000, 0))), "")</f>
        <v/>
      </c>
    </row>
    <row r="89" spans="2:11">
      <c r="B89">
        <v>75</v>
      </c>
      <c r="D89" s="13"/>
      <c r="E89" s="46"/>
      <c r="G89" s="13" t="str">
        <f>IF(insumos[preço] &lt;&gt; "", insumos[[#This Row],[preço]] / IF(insumos[[#This Row],[medida]] = "unidades", insumos[[#This Row],[quantidade]], 1), "")</f>
        <v/>
      </c>
      <c r="H89" s="13" t="str">
        <f>IFERROR(insumos[[#This Row],[preço]] / (insumos[quantidade] / IF(insumos[[#This Row],[medida]] = "Gramas", 1000, IF(insumos[[#This Row],[medida]] = "Quilos", 1, 0))), "")</f>
        <v/>
      </c>
      <c r="I89" s="45" t="str">
        <f>IFERROR(insumos[[#This Row],[preço]] / (insumos[quantidade] * IF(insumos[[#This Row],[medida]] = "Gramas", 1, IF(insumos[[#This Row],[medida]] = "Quilos", 1000, 0))), "")</f>
        <v/>
      </c>
      <c r="J89" s="45" t="str">
        <f>IFERROR(insumos[[#This Row],[preço]] / (insumos[quantidade] / IF(insumos[[#This Row],[medida]] = "ML", 1000, IF(insumos[[#This Row],[medida]] = "Litros", 1, 0))), "")</f>
        <v/>
      </c>
      <c r="K89" s="45" t="str">
        <f>IFERROR(insumos[[#This Row],[preço]] / (insumos[quantidade] * IF(insumos[[#This Row],[medida]] = "ML", 1, IF(insumos[[#This Row],[medida]] = "Litros", 1000, 0))), "")</f>
        <v/>
      </c>
    </row>
    <row r="90" spans="2:11">
      <c r="B90">
        <v>76</v>
      </c>
      <c r="D90" s="13"/>
      <c r="E90" s="46"/>
      <c r="G90" s="13" t="str">
        <f>IF(insumos[preço] &lt;&gt; "", insumos[[#This Row],[preço]] / IF(insumos[[#This Row],[medida]] = "unidades", insumos[[#This Row],[quantidade]], 1), "")</f>
        <v/>
      </c>
      <c r="H90" s="13" t="str">
        <f>IFERROR(insumos[[#This Row],[preço]] / (insumos[quantidade] / IF(insumos[[#This Row],[medida]] = "Gramas", 1000, IF(insumos[[#This Row],[medida]] = "Quilos", 1, 0))), "")</f>
        <v/>
      </c>
      <c r="I90" s="45" t="str">
        <f>IFERROR(insumos[[#This Row],[preço]] / (insumos[quantidade] * IF(insumos[[#This Row],[medida]] = "Gramas", 1, IF(insumos[[#This Row],[medida]] = "Quilos", 1000, 0))), "")</f>
        <v/>
      </c>
      <c r="J90" s="45" t="str">
        <f>IFERROR(insumos[[#This Row],[preço]] / (insumos[quantidade] / IF(insumos[[#This Row],[medida]] = "ML", 1000, IF(insumos[[#This Row],[medida]] = "Litros", 1, 0))), "")</f>
        <v/>
      </c>
      <c r="K90" s="45" t="str">
        <f>IFERROR(insumos[[#This Row],[preço]] / (insumos[quantidade] * IF(insumos[[#This Row],[medida]] = "ML", 1, IF(insumos[[#This Row],[medida]] = "Litros", 1000, 0))), "")</f>
        <v/>
      </c>
    </row>
    <row r="91" spans="2:11">
      <c r="B91">
        <v>77</v>
      </c>
      <c r="D91" s="13"/>
      <c r="E91" s="46"/>
      <c r="G91" s="13" t="str">
        <f>IF(insumos[preço] &lt;&gt; "", insumos[[#This Row],[preço]] / IF(insumos[[#This Row],[medida]] = "unidades", insumos[[#This Row],[quantidade]], 1), "")</f>
        <v/>
      </c>
      <c r="H91" s="13" t="str">
        <f>IFERROR(insumos[[#This Row],[preço]] / (insumos[quantidade] / IF(insumos[[#This Row],[medida]] = "Gramas", 1000, IF(insumos[[#This Row],[medida]] = "Quilos", 1, 0))), "")</f>
        <v/>
      </c>
      <c r="I91" s="45" t="str">
        <f>IFERROR(insumos[[#This Row],[preço]] / (insumos[quantidade] * IF(insumos[[#This Row],[medida]] = "Gramas", 1, IF(insumos[[#This Row],[medida]] = "Quilos", 1000, 0))), "")</f>
        <v/>
      </c>
      <c r="J91" s="45" t="str">
        <f>IFERROR(insumos[[#This Row],[preço]] / (insumos[quantidade] / IF(insumos[[#This Row],[medida]] = "ML", 1000, IF(insumos[[#This Row],[medida]] = "Litros", 1, 0))), "")</f>
        <v/>
      </c>
      <c r="K91" s="45" t="str">
        <f>IFERROR(insumos[[#This Row],[preço]] / (insumos[quantidade] * IF(insumos[[#This Row],[medida]] = "ML", 1, IF(insumos[[#This Row],[medida]] = "Litros", 1000, 0))), "")</f>
        <v/>
      </c>
    </row>
    <row r="92" spans="2:11">
      <c r="B92">
        <v>78</v>
      </c>
      <c r="D92" s="13"/>
      <c r="E92" s="46"/>
      <c r="G92" s="13" t="str">
        <f>IF(insumos[preço] &lt;&gt; "", insumos[[#This Row],[preço]] / IF(insumos[[#This Row],[medida]] = "unidades", insumos[[#This Row],[quantidade]], 1), "")</f>
        <v/>
      </c>
      <c r="H92" s="13" t="str">
        <f>IFERROR(insumos[[#This Row],[preço]] / (insumos[quantidade] / IF(insumos[[#This Row],[medida]] = "Gramas", 1000, IF(insumos[[#This Row],[medida]] = "Quilos", 1, 0))), "")</f>
        <v/>
      </c>
      <c r="I92" s="45" t="str">
        <f>IFERROR(insumos[[#This Row],[preço]] / (insumos[quantidade] * IF(insumos[[#This Row],[medida]] = "Gramas", 1, IF(insumos[[#This Row],[medida]] = "Quilos", 1000, 0))), "")</f>
        <v/>
      </c>
      <c r="J92" s="45" t="str">
        <f>IFERROR(insumos[[#This Row],[preço]] / (insumos[quantidade] / IF(insumos[[#This Row],[medida]] = "ML", 1000, IF(insumos[[#This Row],[medida]] = "Litros", 1, 0))), "")</f>
        <v/>
      </c>
      <c r="K92" s="45" t="str">
        <f>IFERROR(insumos[[#This Row],[preço]] / (insumos[quantidade] * IF(insumos[[#This Row],[medida]] = "ML", 1, IF(insumos[[#This Row],[medida]] = "Litros", 1000, 0))), "")</f>
        <v/>
      </c>
    </row>
    <row r="93" spans="2:11">
      <c r="B93">
        <v>79</v>
      </c>
      <c r="D93" s="13"/>
      <c r="E93" s="46"/>
      <c r="G93" s="13" t="str">
        <f>IF(insumos[preço] &lt;&gt; "", insumos[[#This Row],[preço]] / IF(insumos[[#This Row],[medida]] = "unidades", insumos[[#This Row],[quantidade]], 1), "")</f>
        <v/>
      </c>
      <c r="H93" s="13" t="str">
        <f>IFERROR(insumos[[#This Row],[preço]] / (insumos[quantidade] / IF(insumos[[#This Row],[medida]] = "Gramas", 1000, IF(insumos[[#This Row],[medida]] = "Quilos", 1, 0))), "")</f>
        <v/>
      </c>
      <c r="I93" s="45" t="str">
        <f>IFERROR(insumos[[#This Row],[preço]] / (insumos[quantidade] * IF(insumos[[#This Row],[medida]] = "Gramas", 1, IF(insumos[[#This Row],[medida]] = "Quilos", 1000, 0))), "")</f>
        <v/>
      </c>
      <c r="J93" s="45" t="str">
        <f>IFERROR(insumos[[#This Row],[preço]] / (insumos[quantidade] / IF(insumos[[#This Row],[medida]] = "ML", 1000, IF(insumos[[#This Row],[medida]] = "Litros", 1, 0))), "")</f>
        <v/>
      </c>
      <c r="K93" s="45" t="str">
        <f>IFERROR(insumos[[#This Row],[preço]] / (insumos[quantidade] * IF(insumos[[#This Row],[medida]] = "ML", 1, IF(insumos[[#This Row],[medida]] = "Litros", 1000, 0))), "")</f>
        <v/>
      </c>
    </row>
    <row r="94" spans="2:11">
      <c r="B94">
        <v>80</v>
      </c>
      <c r="D94" s="13"/>
      <c r="E94" s="46"/>
      <c r="G94" s="13" t="str">
        <f>IF(insumos[preço] &lt;&gt; "", insumos[[#This Row],[preço]] / IF(insumos[[#This Row],[medida]] = "unidades", insumos[[#This Row],[quantidade]], 1), "")</f>
        <v/>
      </c>
      <c r="H94" s="13" t="str">
        <f>IFERROR(insumos[[#This Row],[preço]] / (insumos[quantidade] / IF(insumos[[#This Row],[medida]] = "Gramas", 1000, IF(insumos[[#This Row],[medida]] = "Quilos", 1, 0))), "")</f>
        <v/>
      </c>
      <c r="I94" s="45" t="str">
        <f>IFERROR(insumos[[#This Row],[preço]] / (insumos[quantidade] * IF(insumos[[#This Row],[medida]] = "Gramas", 1, IF(insumos[[#This Row],[medida]] = "Quilos", 1000, 0))), "")</f>
        <v/>
      </c>
      <c r="J94" s="45" t="str">
        <f>IFERROR(insumos[[#This Row],[preço]] / (insumos[quantidade] / IF(insumos[[#This Row],[medida]] = "ML", 1000, IF(insumos[[#This Row],[medida]] = "Litros", 1, 0))), "")</f>
        <v/>
      </c>
      <c r="K94" s="45" t="str">
        <f>IFERROR(insumos[[#This Row],[preço]] / (insumos[quantidade] * IF(insumos[[#This Row],[medida]] = "ML", 1, IF(insumos[[#This Row],[medida]] = "Litros", 1000, 0))), "")</f>
        <v/>
      </c>
    </row>
    <row r="95" spans="2:11">
      <c r="B95">
        <v>81</v>
      </c>
      <c r="D95" s="13"/>
      <c r="E95" s="46"/>
      <c r="G95" s="13" t="str">
        <f>IF(insumos[preço] &lt;&gt; "", insumos[[#This Row],[preço]] / IF(insumos[[#This Row],[medida]] = "unidades", insumos[[#This Row],[quantidade]], 1), "")</f>
        <v/>
      </c>
      <c r="H95" s="13" t="str">
        <f>IFERROR(insumos[[#This Row],[preço]] / (insumos[quantidade] / IF(insumos[[#This Row],[medida]] = "Gramas", 1000, IF(insumos[[#This Row],[medida]] = "Quilos", 1, 0))), "")</f>
        <v/>
      </c>
      <c r="I95" s="45" t="str">
        <f>IFERROR(insumos[[#This Row],[preço]] / (insumos[quantidade] * IF(insumos[[#This Row],[medida]] = "Gramas", 1, IF(insumos[[#This Row],[medida]] = "Quilos", 1000, 0))), "")</f>
        <v/>
      </c>
      <c r="J95" s="45" t="str">
        <f>IFERROR(insumos[[#This Row],[preço]] / (insumos[quantidade] / IF(insumos[[#This Row],[medida]] = "ML", 1000, IF(insumos[[#This Row],[medida]] = "Litros", 1, 0))), "")</f>
        <v/>
      </c>
      <c r="K95" s="45" t="str">
        <f>IFERROR(insumos[[#This Row],[preço]] / (insumos[quantidade] * IF(insumos[[#This Row],[medida]] = "ML", 1, IF(insumos[[#This Row],[medida]] = "Litros", 1000, 0))), "")</f>
        <v/>
      </c>
    </row>
    <row r="96" spans="2:11">
      <c r="B96">
        <v>82</v>
      </c>
      <c r="D96" s="13"/>
      <c r="E96" s="46"/>
      <c r="G96" s="13" t="str">
        <f>IF(insumos[preço] &lt;&gt; "", insumos[[#This Row],[preço]] / IF(insumos[[#This Row],[medida]] = "unidades", insumos[[#This Row],[quantidade]], 1), "")</f>
        <v/>
      </c>
      <c r="H96" s="13" t="str">
        <f>IFERROR(insumos[[#This Row],[preço]] / (insumos[quantidade] / IF(insumos[[#This Row],[medida]] = "Gramas", 1000, IF(insumos[[#This Row],[medida]] = "Quilos", 1, 0))), "")</f>
        <v/>
      </c>
      <c r="I96" s="45" t="str">
        <f>IFERROR(insumos[[#This Row],[preço]] / (insumos[quantidade] * IF(insumos[[#This Row],[medida]] = "Gramas", 1, IF(insumos[[#This Row],[medida]] = "Quilos", 1000, 0))), "")</f>
        <v/>
      </c>
      <c r="J96" s="45" t="str">
        <f>IFERROR(insumos[[#This Row],[preço]] / (insumos[quantidade] / IF(insumos[[#This Row],[medida]] = "ML", 1000, IF(insumos[[#This Row],[medida]] = "Litros", 1, 0))), "")</f>
        <v/>
      </c>
      <c r="K96" s="45" t="str">
        <f>IFERROR(insumos[[#This Row],[preço]] / (insumos[quantidade] * IF(insumos[[#This Row],[medida]] = "ML", 1, IF(insumos[[#This Row],[medida]] = "Litros", 1000, 0))), "")</f>
        <v/>
      </c>
    </row>
    <row r="97" spans="2:11">
      <c r="B97">
        <v>83</v>
      </c>
      <c r="D97" s="13"/>
      <c r="E97" s="46"/>
      <c r="G97" s="13" t="str">
        <f>IF(insumos[preço] &lt;&gt; "", insumos[[#This Row],[preço]] / IF(insumos[[#This Row],[medida]] = "unidades", insumos[[#This Row],[quantidade]], 1), "")</f>
        <v/>
      </c>
      <c r="H97" s="13" t="str">
        <f>IFERROR(insumos[[#This Row],[preço]] / (insumos[quantidade] / IF(insumos[[#This Row],[medida]] = "Gramas", 1000, IF(insumos[[#This Row],[medida]] = "Quilos", 1, 0))), "")</f>
        <v/>
      </c>
      <c r="I97" s="45" t="str">
        <f>IFERROR(insumos[[#This Row],[preço]] / (insumos[quantidade] * IF(insumos[[#This Row],[medida]] = "Gramas", 1, IF(insumos[[#This Row],[medida]] = "Quilos", 1000, 0))), "")</f>
        <v/>
      </c>
      <c r="J97" s="45" t="str">
        <f>IFERROR(insumos[[#This Row],[preço]] / (insumos[quantidade] / IF(insumos[[#This Row],[medida]] = "ML", 1000, IF(insumos[[#This Row],[medida]] = "Litros", 1, 0))), "")</f>
        <v/>
      </c>
      <c r="K97" s="45" t="str">
        <f>IFERROR(insumos[[#This Row],[preço]] / (insumos[quantidade] * IF(insumos[[#This Row],[medida]] = "ML", 1, IF(insumos[[#This Row],[medida]] = "Litros", 1000, 0))), "")</f>
        <v/>
      </c>
    </row>
    <row r="98" spans="2:11">
      <c r="B98">
        <v>84</v>
      </c>
      <c r="D98" s="13"/>
      <c r="E98" s="46"/>
      <c r="G98" s="13" t="str">
        <f>IF(insumos[preço] &lt;&gt; "", insumos[[#This Row],[preço]] / IF(insumos[[#This Row],[medida]] = "unidades", insumos[[#This Row],[quantidade]], 1), "")</f>
        <v/>
      </c>
      <c r="H98" s="13" t="str">
        <f>IFERROR(insumos[[#This Row],[preço]] / (insumos[quantidade] / IF(insumos[[#This Row],[medida]] = "Gramas", 1000, IF(insumos[[#This Row],[medida]] = "Quilos", 1, 0))), "")</f>
        <v/>
      </c>
      <c r="I98" s="45" t="str">
        <f>IFERROR(insumos[[#This Row],[preço]] / (insumos[quantidade] * IF(insumos[[#This Row],[medida]] = "Gramas", 1, IF(insumos[[#This Row],[medida]] = "Quilos", 1000, 0))), "")</f>
        <v/>
      </c>
      <c r="J98" s="45" t="str">
        <f>IFERROR(insumos[[#This Row],[preço]] / (insumos[quantidade] / IF(insumos[[#This Row],[medida]] = "ML", 1000, IF(insumos[[#This Row],[medida]] = "Litros", 1, 0))), "")</f>
        <v/>
      </c>
      <c r="K98" s="45" t="str">
        <f>IFERROR(insumos[[#This Row],[preço]] / (insumos[quantidade] * IF(insumos[[#This Row],[medida]] = "ML", 1, IF(insumos[[#This Row],[medida]] = "Litros", 1000, 0))), "")</f>
        <v/>
      </c>
    </row>
    <row r="99" spans="2:11">
      <c r="B99">
        <v>85</v>
      </c>
      <c r="D99" s="13"/>
      <c r="E99" s="46"/>
      <c r="G99" s="13" t="str">
        <f>IF(insumos[preço] &lt;&gt; "", insumos[[#This Row],[preço]] / IF(insumos[[#This Row],[medida]] = "unidades", insumos[[#This Row],[quantidade]], 1), "")</f>
        <v/>
      </c>
      <c r="H99" s="13" t="str">
        <f>IFERROR(insumos[[#This Row],[preço]] / (insumos[quantidade] / IF(insumos[[#This Row],[medida]] = "Gramas", 1000, IF(insumos[[#This Row],[medida]] = "Quilos", 1, 0))), "")</f>
        <v/>
      </c>
      <c r="I99" s="45" t="str">
        <f>IFERROR(insumos[[#This Row],[preço]] / (insumos[quantidade] * IF(insumos[[#This Row],[medida]] = "Gramas", 1, IF(insumos[[#This Row],[medida]] = "Quilos", 1000, 0))), "")</f>
        <v/>
      </c>
      <c r="J99" s="45" t="str">
        <f>IFERROR(insumos[[#This Row],[preço]] / (insumos[quantidade] / IF(insumos[[#This Row],[medida]] = "ML", 1000, IF(insumos[[#This Row],[medida]] = "Litros", 1, 0))), "")</f>
        <v/>
      </c>
      <c r="K99" s="45" t="str">
        <f>IFERROR(insumos[[#This Row],[preço]] / (insumos[quantidade] * IF(insumos[[#This Row],[medida]] = "ML", 1, IF(insumos[[#This Row],[medida]] = "Litros", 1000, 0))), "")</f>
        <v/>
      </c>
    </row>
    <row r="100" spans="2:11">
      <c r="B100">
        <v>86</v>
      </c>
      <c r="D100" s="13"/>
      <c r="E100" s="46"/>
      <c r="G100" s="13" t="str">
        <f>IF(insumos[preço] &lt;&gt; "", insumos[[#This Row],[preço]] / IF(insumos[[#This Row],[medida]] = "unidades", insumos[[#This Row],[quantidade]], 1), "")</f>
        <v/>
      </c>
      <c r="H100" s="13" t="str">
        <f>IFERROR(insumos[[#This Row],[preço]] / (insumos[quantidade] / IF(insumos[[#This Row],[medida]] = "Gramas", 1000, IF(insumos[[#This Row],[medida]] = "Quilos", 1, 0))), "")</f>
        <v/>
      </c>
      <c r="I100" s="45" t="str">
        <f>IFERROR(insumos[[#This Row],[preço]] / (insumos[quantidade] * IF(insumos[[#This Row],[medida]] = "Gramas", 1, IF(insumos[[#This Row],[medida]] = "Quilos", 1000, 0))), "")</f>
        <v/>
      </c>
      <c r="J100" s="45" t="str">
        <f>IFERROR(insumos[[#This Row],[preço]] / (insumos[quantidade] / IF(insumos[[#This Row],[medida]] = "ML", 1000, IF(insumos[[#This Row],[medida]] = "Litros", 1, 0))), "")</f>
        <v/>
      </c>
      <c r="K100" s="45" t="str">
        <f>IFERROR(insumos[[#This Row],[preço]] / (insumos[quantidade] * IF(insumos[[#This Row],[medida]] = "ML", 1, IF(insumos[[#This Row],[medida]] = "Litros", 1000, 0))), "")</f>
        <v/>
      </c>
    </row>
    <row r="101" spans="2:11">
      <c r="B101">
        <v>87</v>
      </c>
      <c r="D101" s="13"/>
      <c r="E101" s="46"/>
      <c r="G101" s="13" t="str">
        <f>IF(insumos[preço] &lt;&gt; "", insumos[[#This Row],[preço]] / IF(insumos[[#This Row],[medida]] = "unidades", insumos[[#This Row],[quantidade]], 1), "")</f>
        <v/>
      </c>
      <c r="H101" s="13" t="str">
        <f>IFERROR(insumos[[#This Row],[preço]] / (insumos[quantidade] / IF(insumos[[#This Row],[medida]] = "Gramas", 1000, IF(insumos[[#This Row],[medida]] = "Quilos", 1, 0))), "")</f>
        <v/>
      </c>
      <c r="I101" s="45" t="str">
        <f>IFERROR(insumos[[#This Row],[preço]] / (insumos[quantidade] * IF(insumos[[#This Row],[medida]] = "Gramas", 1, IF(insumos[[#This Row],[medida]] = "Quilos", 1000, 0))), "")</f>
        <v/>
      </c>
      <c r="J101" s="45" t="str">
        <f>IFERROR(insumos[[#This Row],[preço]] / (insumos[quantidade] / IF(insumos[[#This Row],[medida]] = "ML", 1000, IF(insumos[[#This Row],[medida]] = "Litros", 1, 0))), "")</f>
        <v/>
      </c>
      <c r="K101" s="45" t="str">
        <f>IFERROR(insumos[[#This Row],[preço]] / (insumos[quantidade] * IF(insumos[[#This Row],[medida]] = "ML", 1, IF(insumos[[#This Row],[medida]] = "Litros", 1000, 0))), "")</f>
        <v/>
      </c>
    </row>
    <row r="102" spans="2:11">
      <c r="B102">
        <v>88</v>
      </c>
      <c r="D102" s="13"/>
      <c r="E102" s="46"/>
      <c r="G102" s="13" t="str">
        <f>IF(insumos[preço] &lt;&gt; "", insumos[[#This Row],[preço]] / IF(insumos[[#This Row],[medida]] = "unidades", insumos[[#This Row],[quantidade]], 1), "")</f>
        <v/>
      </c>
      <c r="H102" s="13" t="str">
        <f>IFERROR(insumos[[#This Row],[preço]] / (insumos[quantidade] / IF(insumos[[#This Row],[medida]] = "Gramas", 1000, IF(insumos[[#This Row],[medida]] = "Quilos", 1, 0))), "")</f>
        <v/>
      </c>
      <c r="I102" s="45" t="str">
        <f>IFERROR(insumos[[#This Row],[preço]] / (insumos[quantidade] * IF(insumos[[#This Row],[medida]] = "Gramas", 1, IF(insumos[[#This Row],[medida]] = "Quilos", 1000, 0))), "")</f>
        <v/>
      </c>
      <c r="J102" s="45" t="str">
        <f>IFERROR(insumos[[#This Row],[preço]] / (insumos[quantidade] / IF(insumos[[#This Row],[medida]] = "ML", 1000, IF(insumos[[#This Row],[medida]] = "Litros", 1, 0))), "")</f>
        <v/>
      </c>
      <c r="K102" s="45" t="str">
        <f>IFERROR(insumos[[#This Row],[preço]] / (insumos[quantidade] * IF(insumos[[#This Row],[medida]] = "ML", 1, IF(insumos[[#This Row],[medida]] = "Litros", 1000, 0))), "")</f>
        <v/>
      </c>
    </row>
    <row r="103" spans="2:11">
      <c r="B103">
        <v>89</v>
      </c>
      <c r="D103" s="13"/>
      <c r="E103" s="46"/>
      <c r="G103" s="13" t="str">
        <f>IF(insumos[preço] &lt;&gt; "", insumos[[#This Row],[preço]] / IF(insumos[[#This Row],[medida]] = "unidades", insumos[[#This Row],[quantidade]], 1), "")</f>
        <v/>
      </c>
      <c r="H103" s="13" t="str">
        <f>IFERROR(insumos[[#This Row],[preço]] / (insumos[quantidade] / IF(insumos[[#This Row],[medida]] = "Gramas", 1000, IF(insumos[[#This Row],[medida]] = "Quilos", 1, 0))), "")</f>
        <v/>
      </c>
      <c r="I103" s="45" t="str">
        <f>IFERROR(insumos[[#This Row],[preço]] / (insumos[quantidade] * IF(insumos[[#This Row],[medida]] = "Gramas", 1, IF(insumos[[#This Row],[medida]] = "Quilos", 1000, 0))), "")</f>
        <v/>
      </c>
      <c r="J103" s="45" t="str">
        <f>IFERROR(insumos[[#This Row],[preço]] / (insumos[quantidade] / IF(insumos[[#This Row],[medida]] = "ML", 1000, IF(insumos[[#This Row],[medida]] = "Litros", 1, 0))), "")</f>
        <v/>
      </c>
      <c r="K103" s="45" t="str">
        <f>IFERROR(insumos[[#This Row],[preço]] / (insumos[quantidade] * IF(insumos[[#This Row],[medida]] = "ML", 1, IF(insumos[[#This Row],[medida]] = "Litros", 1000, 0))), "")</f>
        <v/>
      </c>
    </row>
    <row r="104" spans="2:11">
      <c r="B104">
        <v>90</v>
      </c>
      <c r="D104" s="13"/>
      <c r="E104" s="46"/>
      <c r="G104" s="13" t="str">
        <f>IF(insumos[preço] &lt;&gt; "", insumos[[#This Row],[preço]] / IF(insumos[[#This Row],[medida]] = "unidades", insumos[[#This Row],[quantidade]], 1), "")</f>
        <v/>
      </c>
      <c r="H104" s="13" t="str">
        <f>IFERROR(insumos[[#This Row],[preço]] / (insumos[quantidade] / IF(insumos[[#This Row],[medida]] = "Gramas", 1000, IF(insumos[[#This Row],[medida]] = "Quilos", 1, 0))), "")</f>
        <v/>
      </c>
      <c r="I104" s="45" t="str">
        <f>IFERROR(insumos[[#This Row],[preço]] / (insumos[quantidade] * IF(insumos[[#This Row],[medida]] = "Gramas", 1, IF(insumos[[#This Row],[medida]] = "Quilos", 1000, 0))), "")</f>
        <v/>
      </c>
      <c r="J104" s="45" t="str">
        <f>IFERROR(insumos[[#This Row],[preço]] / (insumos[quantidade] / IF(insumos[[#This Row],[medida]] = "ML", 1000, IF(insumos[[#This Row],[medida]] = "Litros", 1, 0))), "")</f>
        <v/>
      </c>
      <c r="K104" s="45" t="str">
        <f>IFERROR(insumos[[#This Row],[preço]] / (insumos[quantidade] * IF(insumos[[#This Row],[medida]] = "ML", 1, IF(insumos[[#This Row],[medida]] = "Litros", 1000, 0))), "")</f>
        <v/>
      </c>
    </row>
    <row r="105" spans="2:11">
      <c r="B105">
        <v>91</v>
      </c>
      <c r="D105" s="13"/>
      <c r="E105" s="46"/>
      <c r="G105" s="13" t="str">
        <f>IF(insumos[preço] &lt;&gt; "", insumos[[#This Row],[preço]] / IF(insumos[[#This Row],[medida]] = "unidades", insumos[[#This Row],[quantidade]], 1), "")</f>
        <v/>
      </c>
      <c r="H105" s="13" t="str">
        <f>IFERROR(insumos[[#This Row],[preço]] / (insumos[quantidade] / IF(insumos[[#This Row],[medida]] = "Gramas", 1000, IF(insumos[[#This Row],[medida]] = "Quilos", 1, 0))), "")</f>
        <v/>
      </c>
      <c r="I105" s="45" t="str">
        <f>IFERROR(insumos[[#This Row],[preço]] / (insumos[quantidade] * IF(insumos[[#This Row],[medida]] = "Gramas", 1, IF(insumos[[#This Row],[medida]] = "Quilos", 1000, 0))), "")</f>
        <v/>
      </c>
      <c r="J105" s="45" t="str">
        <f>IFERROR(insumos[[#This Row],[preço]] / (insumos[quantidade] / IF(insumos[[#This Row],[medida]] = "ML", 1000, IF(insumos[[#This Row],[medida]] = "Litros", 1, 0))), "")</f>
        <v/>
      </c>
      <c r="K105" s="45" t="str">
        <f>IFERROR(insumos[[#This Row],[preço]] / (insumos[quantidade] * IF(insumos[[#This Row],[medida]] = "ML", 1, IF(insumos[[#This Row],[medida]] = "Litros", 1000, 0))), "")</f>
        <v/>
      </c>
    </row>
    <row r="106" spans="2:11">
      <c r="B106">
        <v>92</v>
      </c>
      <c r="D106" s="13"/>
      <c r="E106" s="46"/>
      <c r="G106" s="13" t="str">
        <f>IF(insumos[preço] &lt;&gt; "", insumos[[#This Row],[preço]] / IF(insumos[[#This Row],[medida]] = "unidades", insumos[[#This Row],[quantidade]], 1), "")</f>
        <v/>
      </c>
      <c r="H106" s="13" t="str">
        <f>IFERROR(insumos[[#This Row],[preço]] / (insumos[quantidade] / IF(insumos[[#This Row],[medida]] = "Gramas", 1000, IF(insumos[[#This Row],[medida]] = "Quilos", 1, 0))), "")</f>
        <v/>
      </c>
      <c r="I106" s="45" t="str">
        <f>IFERROR(insumos[[#This Row],[preço]] / (insumos[quantidade] * IF(insumos[[#This Row],[medida]] = "Gramas", 1, IF(insumos[[#This Row],[medida]] = "Quilos", 1000, 0))), "")</f>
        <v/>
      </c>
      <c r="J106" s="45" t="str">
        <f>IFERROR(insumos[[#This Row],[preço]] / (insumos[quantidade] / IF(insumos[[#This Row],[medida]] = "ML", 1000, IF(insumos[[#This Row],[medida]] = "Litros", 1, 0))), "")</f>
        <v/>
      </c>
      <c r="K106" s="45" t="str">
        <f>IFERROR(insumos[[#This Row],[preço]] / (insumos[quantidade] * IF(insumos[[#This Row],[medida]] = "ML", 1, IF(insumos[[#This Row],[medida]] = "Litros", 1000, 0))), "")</f>
        <v/>
      </c>
    </row>
    <row r="107" spans="2:11">
      <c r="B107">
        <v>93</v>
      </c>
      <c r="D107" s="13"/>
      <c r="E107" s="46"/>
      <c r="G107" s="13" t="str">
        <f>IF(insumos[preço] &lt;&gt; "", insumos[[#This Row],[preço]] / IF(insumos[[#This Row],[medida]] = "unidades", insumos[[#This Row],[quantidade]], 1), "")</f>
        <v/>
      </c>
      <c r="H107" s="13" t="str">
        <f>IFERROR(insumos[[#This Row],[preço]] / (insumos[quantidade] / IF(insumos[[#This Row],[medida]] = "Gramas", 1000, IF(insumos[[#This Row],[medida]] = "Quilos", 1, 0))), "")</f>
        <v/>
      </c>
      <c r="I107" s="45" t="str">
        <f>IFERROR(insumos[[#This Row],[preço]] / (insumos[quantidade] * IF(insumos[[#This Row],[medida]] = "Gramas", 1, IF(insumos[[#This Row],[medida]] = "Quilos", 1000, 0))), "")</f>
        <v/>
      </c>
      <c r="J107" s="45" t="str">
        <f>IFERROR(insumos[[#This Row],[preço]] / (insumos[quantidade] / IF(insumos[[#This Row],[medida]] = "ML", 1000, IF(insumos[[#This Row],[medida]] = "Litros", 1, 0))), "")</f>
        <v/>
      </c>
      <c r="K107" s="45" t="str">
        <f>IFERROR(insumos[[#This Row],[preço]] / (insumos[quantidade] * IF(insumos[[#This Row],[medida]] = "ML", 1, IF(insumos[[#This Row],[medida]] = "Litros", 1000, 0))), "")</f>
        <v/>
      </c>
    </row>
    <row r="108" spans="2:11">
      <c r="B108">
        <v>94</v>
      </c>
      <c r="D108" s="13"/>
      <c r="E108" s="46"/>
      <c r="G108" s="13" t="str">
        <f>IF(insumos[preço] &lt;&gt; "", insumos[[#This Row],[preço]] / IF(insumos[[#This Row],[medida]] = "unidades", insumos[[#This Row],[quantidade]], 1), "")</f>
        <v/>
      </c>
      <c r="H108" s="13" t="str">
        <f>IFERROR(insumos[[#This Row],[preço]] / (insumos[quantidade] / IF(insumos[[#This Row],[medida]] = "Gramas", 1000, IF(insumos[[#This Row],[medida]] = "Quilos", 1, 0))), "")</f>
        <v/>
      </c>
      <c r="I108" s="45" t="str">
        <f>IFERROR(insumos[[#This Row],[preço]] / (insumos[quantidade] * IF(insumos[[#This Row],[medida]] = "Gramas", 1, IF(insumos[[#This Row],[medida]] = "Quilos", 1000, 0))), "")</f>
        <v/>
      </c>
      <c r="J108" s="45" t="str">
        <f>IFERROR(insumos[[#This Row],[preço]] / (insumos[quantidade] / IF(insumos[[#This Row],[medida]] = "ML", 1000, IF(insumos[[#This Row],[medida]] = "Litros", 1, 0))), "")</f>
        <v/>
      </c>
      <c r="K108" s="45" t="str">
        <f>IFERROR(insumos[[#This Row],[preço]] / (insumos[quantidade] * IF(insumos[[#This Row],[medida]] = "ML", 1, IF(insumos[[#This Row],[medida]] = "Litros", 1000, 0))), "")</f>
        <v/>
      </c>
    </row>
    <row r="109" spans="2:11">
      <c r="B109">
        <v>95</v>
      </c>
      <c r="D109" s="13"/>
      <c r="E109" s="46"/>
      <c r="G109" s="13" t="str">
        <f>IF(insumos[preço] &lt;&gt; "", insumos[[#This Row],[preço]] / IF(insumos[[#This Row],[medida]] = "unidades", insumos[[#This Row],[quantidade]], 1), "")</f>
        <v/>
      </c>
      <c r="H109" s="13" t="str">
        <f>IFERROR(insumos[[#This Row],[preço]] / (insumos[quantidade] / IF(insumos[[#This Row],[medida]] = "Gramas", 1000, IF(insumos[[#This Row],[medida]] = "Quilos", 1, 0))), "")</f>
        <v/>
      </c>
      <c r="I109" s="45" t="str">
        <f>IFERROR(insumos[[#This Row],[preço]] / (insumos[quantidade] * IF(insumos[[#This Row],[medida]] = "Gramas", 1, IF(insumos[[#This Row],[medida]] = "Quilos", 1000, 0))), "")</f>
        <v/>
      </c>
      <c r="J109" s="45" t="str">
        <f>IFERROR(insumos[[#This Row],[preço]] / (insumos[quantidade] / IF(insumos[[#This Row],[medida]] = "ML", 1000, IF(insumos[[#This Row],[medida]] = "Litros", 1, 0))), "")</f>
        <v/>
      </c>
      <c r="K109" s="45" t="str">
        <f>IFERROR(insumos[[#This Row],[preço]] / (insumos[quantidade] * IF(insumos[[#This Row],[medida]] = "ML", 1, IF(insumos[[#This Row],[medida]] = "Litros", 1000, 0))), "")</f>
        <v/>
      </c>
    </row>
    <row r="110" spans="2:11">
      <c r="B110">
        <v>96</v>
      </c>
      <c r="D110" s="13"/>
      <c r="E110" s="46"/>
      <c r="G110" s="13" t="str">
        <f>IF(insumos[preço] &lt;&gt; "", insumos[[#This Row],[preço]] / IF(insumos[[#This Row],[medida]] = "unidades", insumos[[#This Row],[quantidade]], 1), "")</f>
        <v/>
      </c>
      <c r="H110" s="13" t="str">
        <f>IFERROR(insumos[[#This Row],[preço]] / (insumos[quantidade] / IF(insumos[[#This Row],[medida]] = "Gramas", 1000, IF(insumos[[#This Row],[medida]] = "Quilos", 1, 0))), "")</f>
        <v/>
      </c>
      <c r="I110" s="45" t="str">
        <f>IFERROR(insumos[[#This Row],[preço]] / (insumos[quantidade] * IF(insumos[[#This Row],[medida]] = "Gramas", 1, IF(insumos[[#This Row],[medida]] = "Quilos", 1000, 0))), "")</f>
        <v/>
      </c>
      <c r="J110" s="45" t="str">
        <f>IFERROR(insumos[[#This Row],[preço]] / (insumos[quantidade] / IF(insumos[[#This Row],[medida]] = "ML", 1000, IF(insumos[[#This Row],[medida]] = "Litros", 1, 0))), "")</f>
        <v/>
      </c>
      <c r="K110" s="45" t="str">
        <f>IFERROR(insumos[[#This Row],[preço]] / (insumos[quantidade] * IF(insumos[[#This Row],[medida]] = "ML", 1, IF(insumos[[#This Row],[medida]] = "Litros", 1000, 0))), "")</f>
        <v/>
      </c>
    </row>
    <row r="111" spans="2:11">
      <c r="B111">
        <v>97</v>
      </c>
      <c r="D111" s="13"/>
      <c r="E111" s="46"/>
      <c r="G111" s="13" t="str">
        <f>IF(insumos[preço] &lt;&gt; "", insumos[[#This Row],[preço]] / IF(insumos[[#This Row],[medida]] = "unidades", insumos[[#This Row],[quantidade]], 1), "")</f>
        <v/>
      </c>
      <c r="H111" s="13" t="str">
        <f>IFERROR(insumos[[#This Row],[preço]] / (insumos[quantidade] / IF(insumos[[#This Row],[medida]] = "Gramas", 1000, IF(insumos[[#This Row],[medida]] = "Quilos", 1, 0))), "")</f>
        <v/>
      </c>
      <c r="I111" s="45" t="str">
        <f>IFERROR(insumos[[#This Row],[preço]] / (insumos[quantidade] * IF(insumos[[#This Row],[medida]] = "Gramas", 1, IF(insumos[[#This Row],[medida]] = "Quilos", 1000, 0))), "")</f>
        <v/>
      </c>
      <c r="J111" s="45" t="str">
        <f>IFERROR(insumos[[#This Row],[preço]] / (insumos[quantidade] / IF(insumos[[#This Row],[medida]] = "ML", 1000, IF(insumos[[#This Row],[medida]] = "Litros", 1, 0))), "")</f>
        <v/>
      </c>
      <c r="K111" s="45" t="str">
        <f>IFERROR(insumos[[#This Row],[preço]] / (insumos[quantidade] * IF(insumos[[#This Row],[medida]] = "ML", 1, IF(insumos[[#This Row],[medida]] = "Litros", 1000, 0))), "")</f>
        <v/>
      </c>
    </row>
    <row r="112" spans="2:11">
      <c r="B112">
        <v>98</v>
      </c>
      <c r="D112" s="13"/>
      <c r="E112" s="46"/>
      <c r="G112" s="13" t="str">
        <f>IF(insumos[preço] &lt;&gt; "", insumos[[#This Row],[preço]] / IF(insumos[[#This Row],[medida]] = "unidades", insumos[[#This Row],[quantidade]], 1), "")</f>
        <v/>
      </c>
      <c r="H112" s="13" t="str">
        <f>IFERROR(insumos[[#This Row],[preço]] / (insumos[quantidade] / IF(insumos[[#This Row],[medida]] = "Gramas", 1000, IF(insumos[[#This Row],[medida]] = "Quilos", 1, 0))), "")</f>
        <v/>
      </c>
      <c r="I112" s="45" t="str">
        <f>IFERROR(insumos[[#This Row],[preço]] / (insumos[quantidade] * IF(insumos[[#This Row],[medida]] = "Gramas", 1, IF(insumos[[#This Row],[medida]] = "Quilos", 1000, 0))), "")</f>
        <v/>
      </c>
      <c r="J112" s="45" t="str">
        <f>IFERROR(insumos[[#This Row],[preço]] / (insumos[quantidade] / IF(insumos[[#This Row],[medida]] = "ML", 1000, IF(insumos[[#This Row],[medida]] = "Litros", 1, 0))), "")</f>
        <v/>
      </c>
      <c r="K112" s="45" t="str">
        <f>IFERROR(insumos[[#This Row],[preço]] / (insumos[quantidade] * IF(insumos[[#This Row],[medida]] = "ML", 1, IF(insumos[[#This Row],[medida]] = "Litros", 1000, 0))), "")</f>
        <v/>
      </c>
    </row>
    <row r="113" spans="2:11">
      <c r="B113">
        <v>99</v>
      </c>
      <c r="D113" s="13"/>
      <c r="E113" s="46"/>
      <c r="G113" s="13" t="str">
        <f>IF(insumos[preço] &lt;&gt; "", insumos[[#This Row],[preço]] / IF(insumos[[#This Row],[medida]] = "unidades", insumos[[#This Row],[quantidade]], 1), "")</f>
        <v/>
      </c>
      <c r="H113" s="13" t="str">
        <f>IFERROR(insumos[[#This Row],[preço]] / (insumos[quantidade] / IF(insumos[[#This Row],[medida]] = "Gramas", 1000, IF(insumos[[#This Row],[medida]] = "Quilos", 1, 0))), "")</f>
        <v/>
      </c>
      <c r="I113" s="45" t="str">
        <f>IFERROR(insumos[[#This Row],[preço]] / (insumos[quantidade] * IF(insumos[[#This Row],[medida]] = "Gramas", 1, IF(insumos[[#This Row],[medida]] = "Quilos", 1000, 0))), "")</f>
        <v/>
      </c>
      <c r="J113" s="45" t="str">
        <f>IFERROR(insumos[[#This Row],[preço]] / (insumos[quantidade] / IF(insumos[[#This Row],[medida]] = "ML", 1000, IF(insumos[[#This Row],[medida]] = "Litros", 1, 0))), "")</f>
        <v/>
      </c>
      <c r="K113" s="45" t="str">
        <f>IFERROR(insumos[[#This Row],[preço]] / (insumos[quantidade] * IF(insumos[[#This Row],[medida]] = "ML", 1, IF(insumos[[#This Row],[medida]] = "Litros", 1000, 0))), "")</f>
        <v/>
      </c>
    </row>
    <row r="114" spans="2:11">
      <c r="B114">
        <v>100</v>
      </c>
      <c r="D114" s="13"/>
      <c r="E114" s="46"/>
      <c r="G114" s="13" t="str">
        <f>IF(insumos[preço] &lt;&gt; "", insumos[[#This Row],[preço]] / IF(insumos[[#This Row],[medida]] = "unidades", insumos[[#This Row],[quantidade]], 1), "")</f>
        <v/>
      </c>
      <c r="H114" s="13" t="str">
        <f>IFERROR(insumos[[#This Row],[preço]] / (insumos[quantidade] / IF(insumos[[#This Row],[medida]] = "Gramas", 1000, IF(insumos[[#This Row],[medida]] = "Quilos", 1, 0))), "")</f>
        <v/>
      </c>
      <c r="I114" s="45" t="str">
        <f>IFERROR(insumos[[#This Row],[preço]] / (insumos[quantidade] * IF(insumos[[#This Row],[medida]] = "Gramas", 1, IF(insumos[[#This Row],[medida]] = "Quilos", 1000, 0))), "")</f>
        <v/>
      </c>
      <c r="J114" s="45" t="str">
        <f>IFERROR(insumos[[#This Row],[preço]] / (insumos[quantidade] / IF(insumos[[#This Row],[medida]] = "ML", 1000, IF(insumos[[#This Row],[medida]] = "Litros", 1, 0))), "")</f>
        <v/>
      </c>
      <c r="K114" s="45" t="str">
        <f>IFERROR(insumos[[#This Row],[preço]] / (insumos[quantidade] * IF(insumos[[#This Row],[medida]] = "ML", 1, IF(insumos[[#This Row],[medida]] = "Litros", 1000, 0))), "")</f>
        <v/>
      </c>
    </row>
    <row r="115" spans="2:11">
      <c r="B115">
        <v>101</v>
      </c>
      <c r="D115" s="13"/>
      <c r="E115" s="46"/>
      <c r="G115" s="13" t="str">
        <f>IF(insumos[preço] &lt;&gt; "", insumos[[#This Row],[preço]] / IF(insumos[[#This Row],[medida]] = "unidades", insumos[[#This Row],[quantidade]], 1), "")</f>
        <v/>
      </c>
      <c r="H115" s="13" t="str">
        <f>IFERROR(insumos[[#This Row],[preço]] / (insumos[quantidade] / IF(insumos[[#This Row],[medida]] = "Gramas", 1000, IF(insumos[[#This Row],[medida]] = "Quilos", 1, 0))), "")</f>
        <v/>
      </c>
      <c r="I115" s="45" t="str">
        <f>IFERROR(insumos[[#This Row],[preço]] / (insumos[quantidade] * IF(insumos[[#This Row],[medida]] = "Gramas", 1, IF(insumos[[#This Row],[medida]] = "Quilos", 1000, 0))), "")</f>
        <v/>
      </c>
      <c r="J115" s="45" t="str">
        <f>IFERROR(insumos[[#This Row],[preço]] / (insumos[quantidade] / IF(insumos[[#This Row],[medida]] = "ML", 1000, IF(insumos[[#This Row],[medida]] = "Litros", 1, 0))), "")</f>
        <v/>
      </c>
      <c r="K115" s="45" t="str">
        <f>IFERROR(insumos[[#This Row],[preço]] / (insumos[quantidade] * IF(insumos[[#This Row],[medida]] = "ML", 1, IF(insumos[[#This Row],[medida]] = "Litros", 1000, 0))), "")</f>
        <v/>
      </c>
    </row>
    <row r="116" spans="2:11">
      <c r="B116">
        <v>102</v>
      </c>
      <c r="D116" s="13"/>
      <c r="E116" s="46"/>
      <c r="G116" s="13" t="str">
        <f>IF(insumos[preço] &lt;&gt; "", insumos[[#This Row],[preço]] / IF(insumos[[#This Row],[medida]] = "unidades", insumos[[#This Row],[quantidade]], 1), "")</f>
        <v/>
      </c>
      <c r="H116" s="13" t="str">
        <f>IFERROR(insumos[[#This Row],[preço]] / (insumos[quantidade] / IF(insumos[[#This Row],[medida]] = "Gramas", 1000, IF(insumos[[#This Row],[medida]] = "Quilos", 1, 0))), "")</f>
        <v/>
      </c>
      <c r="I116" s="45" t="str">
        <f>IFERROR(insumos[[#This Row],[preço]] / (insumos[quantidade] * IF(insumos[[#This Row],[medida]] = "Gramas", 1, IF(insumos[[#This Row],[medida]] = "Quilos", 1000, 0))), "")</f>
        <v/>
      </c>
      <c r="J116" s="45" t="str">
        <f>IFERROR(insumos[[#This Row],[preço]] / (insumos[quantidade] / IF(insumos[[#This Row],[medida]] = "ML", 1000, IF(insumos[[#This Row],[medida]] = "Litros", 1, 0))), "")</f>
        <v/>
      </c>
      <c r="K116" s="45" t="str">
        <f>IFERROR(insumos[[#This Row],[preço]] / (insumos[quantidade] * IF(insumos[[#This Row],[medida]] = "ML", 1, IF(insumos[[#This Row],[medida]] = "Litros", 1000, 0))), "")</f>
        <v/>
      </c>
    </row>
    <row r="117" spans="2:11">
      <c r="B117">
        <v>103</v>
      </c>
      <c r="D117" s="13"/>
      <c r="E117" s="46"/>
      <c r="G117" s="13" t="str">
        <f>IF(insumos[preço] &lt;&gt; "", insumos[[#This Row],[preço]] / IF(insumos[[#This Row],[medida]] = "unidades", insumos[[#This Row],[quantidade]], 1), "")</f>
        <v/>
      </c>
      <c r="H117" s="13" t="str">
        <f>IFERROR(insumos[[#This Row],[preço]] / (insumos[quantidade] / IF(insumos[[#This Row],[medida]] = "Gramas", 1000, IF(insumos[[#This Row],[medida]] = "Quilos", 1, 0))), "")</f>
        <v/>
      </c>
      <c r="I117" s="45" t="str">
        <f>IFERROR(insumos[[#This Row],[preço]] / (insumos[quantidade] * IF(insumos[[#This Row],[medida]] = "Gramas", 1, IF(insumos[[#This Row],[medida]] = "Quilos", 1000, 0))), "")</f>
        <v/>
      </c>
      <c r="J117" s="45" t="str">
        <f>IFERROR(insumos[[#This Row],[preço]] / (insumos[quantidade] / IF(insumos[[#This Row],[medida]] = "ML", 1000, IF(insumos[[#This Row],[medida]] = "Litros", 1, 0))), "")</f>
        <v/>
      </c>
      <c r="K117" s="45" t="str">
        <f>IFERROR(insumos[[#This Row],[preço]] / (insumos[quantidade] * IF(insumos[[#This Row],[medida]] = "ML", 1, IF(insumos[[#This Row],[medida]] = "Litros", 1000, 0))), "")</f>
        <v/>
      </c>
    </row>
    <row r="118" spans="2:11">
      <c r="B118">
        <v>104</v>
      </c>
      <c r="D118" s="13"/>
      <c r="E118" s="46"/>
      <c r="G118" s="13" t="str">
        <f>IF(insumos[preço] &lt;&gt; "", insumos[[#This Row],[preço]] / IF(insumos[[#This Row],[medida]] = "unidades", insumos[[#This Row],[quantidade]], 1), "")</f>
        <v/>
      </c>
      <c r="H118" s="13" t="str">
        <f>IFERROR(insumos[[#This Row],[preço]] / (insumos[quantidade] / IF(insumos[[#This Row],[medida]] = "Gramas", 1000, IF(insumos[[#This Row],[medida]] = "Quilos", 1, 0))), "")</f>
        <v/>
      </c>
      <c r="I118" s="45" t="str">
        <f>IFERROR(insumos[[#This Row],[preço]] / (insumos[quantidade] * IF(insumos[[#This Row],[medida]] = "Gramas", 1, IF(insumos[[#This Row],[medida]] = "Quilos", 1000, 0))), "")</f>
        <v/>
      </c>
      <c r="J118" s="45" t="str">
        <f>IFERROR(insumos[[#This Row],[preço]] / (insumos[quantidade] / IF(insumos[[#This Row],[medida]] = "ML", 1000, IF(insumos[[#This Row],[medida]] = "Litros", 1, 0))), "")</f>
        <v/>
      </c>
      <c r="K118" s="45" t="str">
        <f>IFERROR(insumos[[#This Row],[preço]] / (insumos[quantidade] * IF(insumos[[#This Row],[medida]] = "ML", 1, IF(insumos[[#This Row],[medida]] = "Litros", 1000, 0))), "")</f>
        <v/>
      </c>
    </row>
    <row r="119" spans="2:11">
      <c r="B119">
        <v>105</v>
      </c>
      <c r="D119" s="13"/>
      <c r="E119" s="46"/>
      <c r="G119" s="13" t="str">
        <f>IF(insumos[preço] &lt;&gt; "", insumos[[#This Row],[preço]] / IF(insumos[[#This Row],[medida]] = "unidades", insumos[[#This Row],[quantidade]], 1), "")</f>
        <v/>
      </c>
      <c r="H119" s="13" t="str">
        <f>IFERROR(insumos[[#This Row],[preço]] / (insumos[quantidade] / IF(insumos[[#This Row],[medida]] = "Gramas", 1000, IF(insumos[[#This Row],[medida]] = "Quilos", 1, 0))), "")</f>
        <v/>
      </c>
      <c r="I119" s="45" t="str">
        <f>IFERROR(insumos[[#This Row],[preço]] / (insumos[quantidade] * IF(insumos[[#This Row],[medida]] = "Gramas", 1, IF(insumos[[#This Row],[medida]] = "Quilos", 1000, 0))), "")</f>
        <v/>
      </c>
      <c r="J119" s="45" t="str">
        <f>IFERROR(insumos[[#This Row],[preço]] / (insumos[quantidade] / IF(insumos[[#This Row],[medida]] = "ML", 1000, IF(insumos[[#This Row],[medida]] = "Litros", 1, 0))), "")</f>
        <v/>
      </c>
      <c r="K119" s="45" t="str">
        <f>IFERROR(insumos[[#This Row],[preço]] / (insumos[quantidade] * IF(insumos[[#This Row],[medida]] = "ML", 1, IF(insumos[[#This Row],[medida]] = "Litros", 1000, 0))), "")</f>
        <v/>
      </c>
    </row>
    <row r="120" spans="2:11">
      <c r="B120">
        <v>106</v>
      </c>
      <c r="D120" s="13"/>
      <c r="E120" s="46"/>
      <c r="G120" s="13" t="str">
        <f>IF(insumos[preço] &lt;&gt; "", insumos[[#This Row],[preço]] / IF(insumos[[#This Row],[medida]] = "unidades", insumos[[#This Row],[quantidade]], 1), "")</f>
        <v/>
      </c>
      <c r="H120" s="13" t="str">
        <f>IFERROR(insumos[[#This Row],[preço]] / (insumos[quantidade] / IF(insumos[[#This Row],[medida]] = "Gramas", 1000, IF(insumos[[#This Row],[medida]] = "Quilos", 1, 0))), "")</f>
        <v/>
      </c>
      <c r="I120" s="45" t="str">
        <f>IFERROR(insumos[[#This Row],[preço]] / (insumos[quantidade] * IF(insumos[[#This Row],[medida]] = "Gramas", 1, IF(insumos[[#This Row],[medida]] = "Quilos", 1000, 0))), "")</f>
        <v/>
      </c>
      <c r="J120" s="45" t="str">
        <f>IFERROR(insumos[[#This Row],[preço]] / (insumos[quantidade] / IF(insumos[[#This Row],[medida]] = "ML", 1000, IF(insumos[[#This Row],[medida]] = "Litros", 1, 0))), "")</f>
        <v/>
      </c>
      <c r="K120" s="45" t="str">
        <f>IFERROR(insumos[[#This Row],[preço]] / (insumos[quantidade] * IF(insumos[[#This Row],[medida]] = "ML", 1, IF(insumos[[#This Row],[medida]] = "Litros", 1000, 0))), "")</f>
        <v/>
      </c>
    </row>
    <row r="121" spans="2:11">
      <c r="B121">
        <v>107</v>
      </c>
      <c r="D121" s="13"/>
      <c r="E121" s="46"/>
      <c r="G121" s="13" t="str">
        <f>IF(insumos[preço] &lt;&gt; "", insumos[[#This Row],[preço]] / IF(insumos[[#This Row],[medida]] = "unidades", insumos[[#This Row],[quantidade]], 1), "")</f>
        <v/>
      </c>
      <c r="H121" s="13" t="str">
        <f>IFERROR(insumos[[#This Row],[preço]] / (insumos[quantidade] / IF(insumos[[#This Row],[medida]] = "Gramas", 1000, IF(insumos[[#This Row],[medida]] = "Quilos", 1, 0))), "")</f>
        <v/>
      </c>
      <c r="I121" s="45" t="str">
        <f>IFERROR(insumos[[#This Row],[preço]] / (insumos[quantidade] * IF(insumos[[#This Row],[medida]] = "Gramas", 1, IF(insumos[[#This Row],[medida]] = "Quilos", 1000, 0))), "")</f>
        <v/>
      </c>
      <c r="J121" s="45" t="str">
        <f>IFERROR(insumos[[#This Row],[preço]] / (insumos[quantidade] / IF(insumos[[#This Row],[medida]] = "ML", 1000, IF(insumos[[#This Row],[medida]] = "Litros", 1, 0))), "")</f>
        <v/>
      </c>
      <c r="K121" s="45" t="str">
        <f>IFERROR(insumos[[#This Row],[preço]] / (insumos[quantidade] * IF(insumos[[#This Row],[medida]] = "ML", 1, IF(insumos[[#This Row],[medida]] = "Litros", 1000, 0))), "")</f>
        <v/>
      </c>
    </row>
    <row r="122" spans="2:11">
      <c r="B122" t="s">
        <v>11</v>
      </c>
      <c r="D122" s="13">
        <f>SUBTOTAL(109,insumos[preço])</f>
        <v>1150.6099999999997</v>
      </c>
    </row>
  </sheetData>
  <phoneticPr fontId="12" type="noConversion"/>
  <dataValidations count="1">
    <dataValidation type="list" allowBlank="1" showInputMessage="1" showErrorMessage="1" sqref="F5:F121" xr:uid="{2CDC7B08-249E-4A34-BDB0-B19CB21C00D9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3CDE-BFAB-4A17-8B6B-B55071DA61A5}">
  <sheetPr codeName="Planilha4"/>
  <dimension ref="B4:M47"/>
  <sheetViews>
    <sheetView zoomScale="82" workbookViewId="0">
      <selection activeCell="M5" sqref="M5"/>
    </sheetView>
  </sheetViews>
  <sheetFormatPr defaultRowHeight="15"/>
  <cols>
    <col min="3" max="3" width="31" bestFit="1" customWidth="1"/>
    <col min="4" max="6" width="31" hidden="1" customWidth="1"/>
    <col min="7" max="7" width="20.7109375" hidden="1" customWidth="1"/>
    <col min="8" max="8" width="4.85546875" bestFit="1" customWidth="1"/>
    <col min="9" max="9" width="10.5703125" customWidth="1"/>
    <col min="10" max="11" width="13.7109375" customWidth="1"/>
    <col min="12" max="13" width="25.7109375" customWidth="1"/>
  </cols>
  <sheetData>
    <row r="4" spans="2:13">
      <c r="B4" s="1" t="s">
        <v>4</v>
      </c>
      <c r="C4" t="s">
        <v>21</v>
      </c>
      <c r="D4" t="s">
        <v>107</v>
      </c>
      <c r="E4" t="s">
        <v>108</v>
      </c>
      <c r="F4" t="s">
        <v>109</v>
      </c>
      <c r="G4" s="7" t="s">
        <v>22</v>
      </c>
      <c r="H4" s="1" t="s">
        <v>23</v>
      </c>
      <c r="I4" s="1" t="s">
        <v>24</v>
      </c>
      <c r="J4" s="1" t="s">
        <v>40</v>
      </c>
      <c r="K4" s="1" t="s">
        <v>41</v>
      </c>
      <c r="L4" s="1" t="s">
        <v>38</v>
      </c>
      <c r="M4" s="1" t="s">
        <v>39</v>
      </c>
    </row>
    <row r="5" spans="2:13">
      <c r="B5" s="1">
        <v>1</v>
      </c>
      <c r="C5" t="s">
        <v>196</v>
      </c>
      <c r="H5" s="1"/>
      <c r="I5" s="1"/>
      <c r="J5" s="9">
        <f>IF(CaProdutos[[#This Row],[Item]] &lt;&gt; "", SUMIF(Ingredientes[Produto], "=" &amp; CaProdutos[[#This Row],[Item]], Ingredientes[preço]), "")</f>
        <v>4.8638988338833888</v>
      </c>
      <c r="K5" s="15">
        <v>1</v>
      </c>
      <c r="L5" s="9">
        <f>IFERROR(CaProdutos[[#This Row],[Custo do Lote]] / CaProdutos[[#This Row],[Un. Por Lote]], "")</f>
        <v>4.8638988338833888</v>
      </c>
      <c r="M5" s="13">
        <f>IFERROR(SUMIF(Embalamento[Produto], "=" &amp; CaProdutos[[#This Row],[Item]], Embalamento[Preço]) + CaProdutos[[#This Row],[Custo de Produção (1 un.)]] / (1 - INDEX(ConfPrec[Despesas Variáveis], 1)), "")</f>
        <v>8.4203697852591315</v>
      </c>
    </row>
    <row r="6" spans="2:13">
      <c r="B6" s="1">
        <v>2</v>
      </c>
      <c r="C6" t="s">
        <v>197</v>
      </c>
      <c r="H6" s="1"/>
      <c r="I6" s="1"/>
      <c r="J6" s="9">
        <f>IF(CaProdutos[[#This Row],[Item]] &lt;&gt; "", SUMIF(Ingredientes[Produto], "=" &amp; CaProdutos[[#This Row],[Item]], Ingredientes[preço]), "")</f>
        <v>0</v>
      </c>
      <c r="K6" s="15">
        <v>1</v>
      </c>
      <c r="L6" s="9">
        <f>IFERROR(CaProdutos[[#This Row],[Custo do Lote]] / CaProdutos[[#This Row],[Un. Por Lote]], "")</f>
        <v>0</v>
      </c>
      <c r="M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7" spans="2:13">
      <c r="B7" s="1">
        <v>3</v>
      </c>
      <c r="C7" t="s">
        <v>198</v>
      </c>
      <c r="H7" s="1"/>
      <c r="I7" s="1"/>
      <c r="J7" s="9">
        <f>IF(CaProdutos[[#This Row],[Item]] &lt;&gt; "", SUMIF(Ingredientes[Produto], "=" &amp; CaProdutos[[#This Row],[Item]], Ingredientes[preço]), "")</f>
        <v>9.9055872396804894</v>
      </c>
      <c r="K7" s="15">
        <v>1</v>
      </c>
      <c r="L7" s="9">
        <f>IFERROR(CaProdutos[[#This Row],[Custo do Lote]] / CaProdutos[[#This Row],[Un. Por Lote]], "")</f>
        <v>9.9055872396804894</v>
      </c>
      <c r="M7" s="13">
        <f>IFERROR(SUMIF(Embalamento[Produto], "=" &amp; CaProdutos[[#This Row],[Item]], Embalamento[Preço]) + CaProdutos[[#This Row],[Custo de Produção (1 un.)]] / (1 - INDEX(ConfPrec[Despesas Variáveis], 1)), "")</f>
        <v>15.355291939037812</v>
      </c>
    </row>
    <row r="8" spans="2:13">
      <c r="B8" s="1">
        <v>8</v>
      </c>
      <c r="C8" t="s">
        <v>209</v>
      </c>
      <c r="H8" s="1"/>
      <c r="I8" s="1"/>
      <c r="J8" s="9">
        <f>IF(CaProdutos[[#This Row],[Item]] &lt;&gt; "", SUMIF(Ingredientes[Produto], "=" &amp; CaProdutos[[#This Row],[Item]], Ingredientes[preço]), "")</f>
        <v>6.773777777777779</v>
      </c>
      <c r="K8" s="15">
        <v>1</v>
      </c>
      <c r="L8" s="9">
        <f>IFERROR(CaProdutos[[#This Row],[Custo do Lote]] / CaProdutos[[#This Row],[Un. Por Lote]], "")</f>
        <v>6.773777777777779</v>
      </c>
      <c r="M8" s="13">
        <f>IFERROR(SUMIF(Embalamento[Produto], "=" &amp; CaProdutos[[#This Row],[Item]], Embalamento[Preço]) + CaProdutos[[#This Row],[Custo de Produção (1 un.)]] / (1 - INDEX(ConfPrec[Despesas Variáveis], 1)), "")</f>
        <v>10.8474384838759</v>
      </c>
    </row>
    <row r="9" spans="2:13">
      <c r="B9" s="1">
        <v>9</v>
      </c>
      <c r="C9" t="s">
        <v>199</v>
      </c>
      <c r="H9" s="1"/>
      <c r="I9" s="1"/>
      <c r="J9" s="9">
        <f>IF(CaProdutos[[#This Row],[Item]] &lt;&gt; "", SUMIF(Ingredientes[Produto], "=" &amp; CaProdutos[[#This Row],[Item]], Ingredientes[preço]), "")</f>
        <v>6.9804488888888887</v>
      </c>
      <c r="K9" s="15">
        <v>1</v>
      </c>
      <c r="L9" s="9">
        <f>IFERROR(CaProdutos[[#This Row],[Custo do Lote]] / CaProdutos[[#This Row],[Un. Por Lote]], "")</f>
        <v>6.9804488888888887</v>
      </c>
      <c r="M9" s="13">
        <f>IFERROR(SUMIF(Embalamento[Produto], "=" &amp; CaProdutos[[#This Row],[Item]], Embalamento[Preço]) + CaProdutos[[#This Row],[Custo de Produção (1 un.)]] / (1 - INDEX(ConfPrec[Despesas Variáveis], 1)), "")</f>
        <v>11.131717866422131</v>
      </c>
    </row>
    <row r="10" spans="2:13">
      <c r="B10" s="1">
        <v>10</v>
      </c>
      <c r="C10" t="s">
        <v>200</v>
      </c>
      <c r="H10" s="1"/>
      <c r="I10" s="1"/>
      <c r="J10" s="9">
        <f>IF(CaProdutos[[#This Row],[Item]] &lt;&gt; "", SUMIF(Ingredientes[Produto], "=" &amp; CaProdutos[[#This Row],[Item]], Ingredientes[preço]), "")</f>
        <v>0.37374999999999997</v>
      </c>
      <c r="K10" s="15">
        <v>1</v>
      </c>
      <c r="L10" s="9">
        <f>IFERROR(CaProdutos[[#This Row],[Custo do Lote]] / CaProdutos[[#This Row],[Un. Por Lote]], "")</f>
        <v>0.37374999999999997</v>
      </c>
      <c r="M10" s="13">
        <f>IFERROR(SUMIF(Embalamento[Produto], "=" &amp; CaProdutos[[#This Row],[Item]], Embalamento[Preço]) + CaProdutos[[#This Row],[Custo de Produção (1 un.)]] / (1 - INDEX(ConfPrec[Despesas Variáveis], 1)), "")</f>
        <v>0.51409903713892702</v>
      </c>
    </row>
    <row r="11" spans="2:13">
      <c r="B11" s="1">
        <v>11</v>
      </c>
      <c r="C11" t="s">
        <v>201</v>
      </c>
      <c r="H11" s="1"/>
      <c r="I11" s="1"/>
      <c r="J11" s="9">
        <f>IF(CaProdutos[[#This Row],[Item]] &lt;&gt; "", SUMIF(Ingredientes[Produto], "=" &amp; CaProdutos[[#This Row],[Item]], Ingredientes[preço]), "")</f>
        <v>4.5910000000000002</v>
      </c>
      <c r="K11" s="15">
        <v>4</v>
      </c>
      <c r="L11" s="9">
        <f>IFERROR(CaProdutos[[#This Row],[Custo do Lote]] / CaProdutos[[#This Row],[Un. Por Lote]], "")</f>
        <v>1.14775</v>
      </c>
      <c r="M11" s="13">
        <f>IFERROR(SUMIF(Embalamento[Produto], "=" &amp; CaProdutos[[#This Row],[Item]], Embalamento[Preço]) + CaProdutos[[#This Row],[Custo de Produção (1 un.)]] / (1 - INDEX(ConfPrec[Despesas Variáveis], 1)), "")</f>
        <v>1.5787482806052271</v>
      </c>
    </row>
    <row r="12" spans="2:13">
      <c r="B12" s="1">
        <v>12</v>
      </c>
      <c r="C12" t="s">
        <v>202</v>
      </c>
      <c r="H12" s="1"/>
      <c r="I12" s="1"/>
      <c r="J12" s="9">
        <f>IF(CaProdutos[[#This Row],[Item]] &lt;&gt; "", SUMIF(Ingredientes[Produto], "=" &amp; CaProdutos[[#This Row],[Item]], Ingredientes[preço]), "")</f>
        <v>3.3333333333333335</v>
      </c>
      <c r="K12" s="15">
        <v>1</v>
      </c>
      <c r="L12" s="9">
        <f>IFERROR(CaProdutos[[#This Row],[Custo do Lote]] / CaProdutos[[#This Row],[Un. Por Lote]], "")</f>
        <v>3.3333333333333335</v>
      </c>
      <c r="M12" s="13">
        <f>IFERROR(SUMIF(Embalamento[Produto], "=" &amp; CaProdutos[[#This Row],[Item]], Embalamento[Preço]) + CaProdutos[[#This Row],[Custo de Produção (1 un.)]] / (1 - INDEX(ConfPrec[Despesas Variáveis], 1)), "")</f>
        <v>4.5850527281063735</v>
      </c>
    </row>
    <row r="13" spans="2:13">
      <c r="B13" s="1">
        <v>13</v>
      </c>
      <c r="C13" t="s">
        <v>203</v>
      </c>
      <c r="H13" s="1"/>
      <c r="I13" s="1"/>
      <c r="J13" s="9">
        <f>IF(CaProdutos[[#This Row],[Item]] &lt;&gt; "", SUMIF(Ingredientes[Produto], "=" &amp; CaProdutos[[#This Row],[Item]], Ingredientes[preço]), "")</f>
        <v>7.7750000000000004</v>
      </c>
      <c r="K13" s="15">
        <v>1</v>
      </c>
      <c r="L13" s="9">
        <f>IFERROR(CaProdutos[[#This Row],[Custo do Lote]] / CaProdutos[[#This Row],[Un. Por Lote]], "")</f>
        <v>7.7750000000000004</v>
      </c>
      <c r="M13" s="13">
        <f>IFERROR(SUMIF(Embalamento[Produto], "=" &amp; CaProdutos[[#This Row],[Item]], Embalamento[Preço]) + CaProdutos[[#This Row],[Custo de Produção (1 un.)]] / (1 - INDEX(ConfPrec[Despesas Variáveis], 1)), "")</f>
        <v>10.694635488308116</v>
      </c>
    </row>
    <row r="14" spans="2:13">
      <c r="B14" s="1">
        <v>14</v>
      </c>
      <c r="C14" t="s">
        <v>204</v>
      </c>
      <c r="H14" s="1"/>
      <c r="I14" s="1"/>
      <c r="J14" s="9">
        <f>IF(CaProdutos[[#This Row],[Item]] &lt;&gt; "", SUMIF(Ingredientes[Produto], "=" &amp; CaProdutos[[#This Row],[Item]], Ingredientes[preço]), "")</f>
        <v>2.4950000000000001</v>
      </c>
      <c r="K14" s="15">
        <v>1</v>
      </c>
      <c r="L14" s="9">
        <f>IFERROR(CaProdutos[[#This Row],[Custo do Lote]] / CaProdutos[[#This Row],[Un. Por Lote]], "")</f>
        <v>2.4950000000000001</v>
      </c>
      <c r="M14" s="13">
        <f>IFERROR(SUMIF(Embalamento[Produto], "=" &amp; CaProdutos[[#This Row],[Item]], Embalamento[Preço]) + CaProdutos[[#This Row],[Custo de Produção (1 un.)]] / (1 - INDEX(ConfPrec[Despesas Variáveis], 1)), "")</f>
        <v>3.4319119669876206</v>
      </c>
    </row>
    <row r="15" spans="2:13">
      <c r="B15" s="1">
        <v>15</v>
      </c>
      <c r="C15" t="s">
        <v>205</v>
      </c>
      <c r="H15" s="1"/>
      <c r="I15" s="1"/>
      <c r="J15" s="9">
        <f>IF(CaProdutos[[#This Row],[Item]] &lt;&gt; "", SUMIF(Ingredientes[Produto], "=" &amp; CaProdutos[[#This Row],[Item]], Ingredientes[preço]), "")</f>
        <v>1.165</v>
      </c>
      <c r="K15" s="15">
        <v>1</v>
      </c>
      <c r="L15" s="9">
        <f>IFERROR(CaProdutos[[#This Row],[Custo do Lote]] / CaProdutos[[#This Row],[Un. Por Lote]], "")</f>
        <v>1.165</v>
      </c>
      <c r="M15" s="13">
        <f>IFERROR(SUMIF(Embalamento[Produto], "=" &amp; CaProdutos[[#This Row],[Item]], Embalamento[Preço]) + CaProdutos[[#This Row],[Custo de Produção (1 un.)]] / (1 - INDEX(ConfPrec[Despesas Variáveis], 1)), "")</f>
        <v>1.6024759284731775</v>
      </c>
    </row>
    <row r="16" spans="2:13">
      <c r="B16" s="1">
        <v>16</v>
      </c>
      <c r="C16" t="s">
        <v>206</v>
      </c>
      <c r="H16" s="1"/>
      <c r="I16" s="1"/>
      <c r="J16" s="9">
        <f>IF(CaProdutos[[#This Row],[Item]] &lt;&gt; "", SUMIF(Ingredientes[Produto], "=" &amp; CaProdutos[[#This Row],[Item]], Ingredientes[preço]), "")</f>
        <v>0</v>
      </c>
      <c r="K16" s="15">
        <v>1</v>
      </c>
      <c r="L16" s="9">
        <f>IFERROR(CaProdutos[[#This Row],[Custo do Lote]] / CaProdutos[[#This Row],[Un. Por Lote]], "")</f>
        <v>0</v>
      </c>
      <c r="M1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7" spans="2:13">
      <c r="B17" s="1">
        <v>17</v>
      </c>
      <c r="C17" t="s">
        <v>207</v>
      </c>
      <c r="H17" s="1"/>
      <c r="I17" s="1"/>
      <c r="J17" s="9">
        <f>IF(CaProdutos[[#This Row],[Item]] &lt;&gt; "", SUMIF(Ingredientes[Produto], "=" &amp; CaProdutos[[#This Row],[Item]], Ingredientes[preço]), "")</f>
        <v>0</v>
      </c>
      <c r="K17" s="15">
        <v>1</v>
      </c>
      <c r="L17" s="9">
        <f>IFERROR(CaProdutos[[#This Row],[Custo do Lote]] / CaProdutos[[#This Row],[Un. Por Lote]], "")</f>
        <v>0</v>
      </c>
      <c r="M17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8" spans="2:13">
      <c r="B18" s="1">
        <v>18</v>
      </c>
      <c r="C18" t="s">
        <v>222</v>
      </c>
      <c r="H18" s="1"/>
      <c r="I18" s="1"/>
      <c r="J18" s="9">
        <f>IF(CaProdutos[[#This Row],[Item]] &lt;&gt; "", SUMIF(Ingredientes[Produto], "=" &amp; CaProdutos[[#This Row],[Item]], Ingredientes[preço]), "")</f>
        <v>4.4000000000000004</v>
      </c>
      <c r="K18" s="15">
        <v>1</v>
      </c>
      <c r="L18" s="9">
        <f>IFERROR(CaProdutos[[#This Row],[Custo do Lote]] / CaProdutos[[#This Row],[Un. Por Lote]], "")</f>
        <v>4.4000000000000004</v>
      </c>
      <c r="M18" s="13">
        <f>IFERROR(SUMIF(Embalamento[Produto], "=" &amp; CaProdutos[[#This Row],[Item]], Embalamento[Preço]) + CaProdutos[[#This Row],[Custo de Produção (1 un.)]] / (1 - INDEX(ConfPrec[Despesas Variáveis], 1)), "")</f>
        <v>6.0522696011004129</v>
      </c>
    </row>
    <row r="19" spans="2:13">
      <c r="B19" s="1">
        <v>23</v>
      </c>
      <c r="C19" t="s">
        <v>217</v>
      </c>
      <c r="H19" s="1"/>
      <c r="I19" s="1"/>
      <c r="J19" s="9">
        <f>IF(CaProdutos[[#This Row],[Item]] &lt;&gt; "", SUMIF(Ingredientes[Produto], "=" &amp; CaProdutos[[#This Row],[Item]], Ingredientes[preço]), "")</f>
        <v>8.125</v>
      </c>
      <c r="K19" s="15">
        <v>1</v>
      </c>
      <c r="L19" s="9">
        <f>IFERROR(CaProdutos[[#This Row],[Custo do Lote]] / CaProdutos[[#This Row],[Un. Por Lote]], "")</f>
        <v>8.125</v>
      </c>
      <c r="M19" s="13">
        <f>IFERROR(SUMIF(Embalamento[Produto], "=" &amp; CaProdutos[[#This Row],[Item]], Embalamento[Preço]) + CaProdutos[[#This Row],[Custo de Produção (1 un.)]] / (1 - INDEX(ConfPrec[Despesas Variáveis], 1)), "")</f>
        <v>11.176066024759285</v>
      </c>
    </row>
    <row r="20" spans="2:13">
      <c r="B20" s="1">
        <v>24</v>
      </c>
      <c r="C20" t="s">
        <v>218</v>
      </c>
      <c r="H20" s="1"/>
      <c r="I20" s="1"/>
      <c r="J20" s="9">
        <f>IF(CaProdutos[[#This Row],[Item]] &lt;&gt; "", SUMIF(Ingredientes[Produto], "=" &amp; CaProdutos[[#This Row],[Item]], Ingredientes[preço]), "")</f>
        <v>3.8000000000000003</v>
      </c>
      <c r="K20" s="15">
        <v>1</v>
      </c>
      <c r="L20" s="9">
        <f>IFERROR(CaProdutos[[#This Row],[Custo do Lote]] / CaProdutos[[#This Row],[Un. Por Lote]], "")</f>
        <v>3.8000000000000003</v>
      </c>
      <c r="M20" s="13">
        <f>IFERROR(SUMIF(Embalamento[Produto], "=" &amp; CaProdutos[[#This Row],[Item]], Embalamento[Preço]) + CaProdutos[[#This Row],[Custo de Produção (1 un.)]] / (1 - INDEX(ConfPrec[Despesas Variáveis], 1)), "")</f>
        <v>5.2269601100412659</v>
      </c>
    </row>
    <row r="21" spans="2:13">
      <c r="B21" s="1">
        <v>25</v>
      </c>
      <c r="C21" t="s">
        <v>219</v>
      </c>
      <c r="H21" s="1"/>
      <c r="I21" s="1"/>
      <c r="J21" s="9">
        <f>IF(CaProdutos[[#This Row],[Item]] &lt;&gt; "", SUMIF(Ingredientes[Produto], "=" &amp; CaProdutos[[#This Row],[Item]], Ingredientes[preço]), "")</f>
        <v>3.8</v>
      </c>
      <c r="K21" s="15">
        <v>1</v>
      </c>
      <c r="L21" s="9">
        <f>IFERROR(CaProdutos[[#This Row],[Custo do Lote]] / CaProdutos[[#This Row],[Un. Por Lote]], "")</f>
        <v>3.8</v>
      </c>
      <c r="M21" s="13">
        <f>IFERROR(SUMIF(Embalamento[Produto], "=" &amp; CaProdutos[[#This Row],[Item]], Embalamento[Preço]) + CaProdutos[[#This Row],[Custo de Produção (1 un.)]] / (1 - INDEX(ConfPrec[Despesas Variáveis], 1)), "")</f>
        <v>5.226960110041265</v>
      </c>
    </row>
    <row r="22" spans="2:13">
      <c r="B22" s="1">
        <v>28</v>
      </c>
      <c r="C22" t="s">
        <v>220</v>
      </c>
      <c r="H22" s="1"/>
      <c r="I22" s="1"/>
      <c r="J22" s="9">
        <f>IF(CaProdutos[[#This Row],[Item]] &lt;&gt; "", SUMIF(Ingredientes[Produto], "=" &amp; CaProdutos[[#This Row],[Item]], Ingredientes[preço]), "")</f>
        <v>5.5</v>
      </c>
      <c r="K22" s="15">
        <v>1</v>
      </c>
      <c r="L22" s="9">
        <f>IFERROR(CaProdutos[[#This Row],[Custo do Lote]] / CaProdutos[[#This Row],[Un. Por Lote]], "")</f>
        <v>5.5</v>
      </c>
      <c r="M22" s="13">
        <f>IFERROR(SUMIF(Embalamento[Produto], "=" &amp; CaProdutos[[#This Row],[Item]], Embalamento[Preço]) + CaProdutos[[#This Row],[Custo de Produção (1 un.)]] / (1 - INDEX(ConfPrec[Despesas Variáveis], 1)), "")</f>
        <v>7.5653370013755161</v>
      </c>
    </row>
    <row r="23" spans="2:13">
      <c r="B23" s="1">
        <v>29</v>
      </c>
      <c r="C23" t="s">
        <v>221</v>
      </c>
      <c r="H23" s="1"/>
      <c r="I23" s="1"/>
      <c r="J23" s="9">
        <f>IF(CaProdutos[[#This Row],[Item]] &lt;&gt; "", SUMIF(Ingredientes[Produto], "=" &amp; CaProdutos[[#This Row],[Item]], Ingredientes[preço]), "")</f>
        <v>12</v>
      </c>
      <c r="K23" s="15">
        <v>1</v>
      </c>
      <c r="L23" s="9">
        <f>IFERROR(CaProdutos[[#This Row],[Custo do Lote]] / CaProdutos[[#This Row],[Un. Por Lote]], "")</f>
        <v>12</v>
      </c>
      <c r="M23" s="13">
        <f>IFERROR(SUMIF(Embalamento[Produto], "=" &amp; CaProdutos[[#This Row],[Item]], Embalamento[Preço]) + CaProdutos[[#This Row],[Custo de Produção (1 un.)]] / (1 - INDEX(ConfPrec[Despesas Variáveis], 1)), "")</f>
        <v>16.506189821182943</v>
      </c>
    </row>
    <row r="24" spans="2:13">
      <c r="B24" s="1">
        <v>31</v>
      </c>
      <c r="C24" t="s">
        <v>228</v>
      </c>
      <c r="H24" s="1"/>
      <c r="I24" s="1"/>
      <c r="J24" s="9">
        <f>IF(CaProdutos[[#This Row],[Item]] &lt;&gt; "", SUMIF(Ingredientes[Produto], "=" &amp; CaProdutos[[#This Row],[Item]], Ingredientes[preço]), "")</f>
        <v>1.9565217391304348</v>
      </c>
      <c r="K24" s="51">
        <v>1</v>
      </c>
      <c r="L24" s="9">
        <f>IFERROR(CaProdutos[[#This Row],[Custo do Lote]] / CaProdutos[[#This Row],[Un. Por Lote]], "")</f>
        <v>1.9565217391304348</v>
      </c>
      <c r="M24" s="13">
        <f>IFERROR(SUMIF(Embalamento[Produto], "=" &amp; CaProdutos[[#This Row],[Item]], Embalamento[Preço]) + CaProdutos[[#This Row],[Custo de Produção (1 un.)]] / (1 - INDEX(ConfPrec[Despesas Variáveis], 1)), "")</f>
        <v>2.691226601279828</v>
      </c>
    </row>
    <row r="25" spans="2:13">
      <c r="B25" s="1">
        <v>19</v>
      </c>
      <c r="C25" t="s">
        <v>211</v>
      </c>
      <c r="H25" s="1"/>
      <c r="I25" s="1"/>
      <c r="J25" s="9">
        <f>IF(CaProdutos[[#This Row],[Item]] &lt;&gt; "", SUMIF(Ingredientes[Produto], "=" &amp; CaProdutos[[#This Row],[Item]], Ingredientes[preço]), "")</f>
        <v>3.1000666666666667</v>
      </c>
      <c r="K25" s="15">
        <v>15</v>
      </c>
      <c r="L25" s="9">
        <f>IFERROR(CaProdutos[[#This Row],[Custo do Lote]] / CaProdutos[[#This Row],[Un. Por Lote]], "")</f>
        <v>0.20667111111111111</v>
      </c>
      <c r="M25" s="13">
        <f>IFERROR(SUMIF(Embalamento[Produto], "=" &amp; CaProdutos[[#This Row],[Item]], Embalamento[Preço]) + CaProdutos[[#This Row],[Custo de Produção (1 un.)]] / (1 - INDEX(ConfPrec[Despesas Variáveis], 1)), "")</f>
        <v>0.28427938254623264</v>
      </c>
    </row>
    <row r="26" spans="2:13">
      <c r="B26" s="1">
        <v>20</v>
      </c>
      <c r="C26" t="s">
        <v>212</v>
      </c>
      <c r="H26" s="1"/>
      <c r="I26" s="1"/>
      <c r="J26" s="9">
        <f>IF(CaProdutos[[#This Row],[Item]] &lt;&gt; "", SUMIF(Ingredientes[Produto], "=" &amp; CaProdutos[[#This Row],[Item]], Ingredientes[preço]), "")</f>
        <v>2.7182500000000003</v>
      </c>
      <c r="K26" s="15">
        <v>9</v>
      </c>
      <c r="L26" s="9">
        <f>IFERROR(CaProdutos[[#This Row],[Custo do Lote]] / CaProdutos[[#This Row],[Un. Por Lote]], "")</f>
        <v>0.30202777777777778</v>
      </c>
      <c r="M26" s="13">
        <f>IFERROR(SUMIF(Embalamento[Produto], "=" &amp; CaProdutos[[#This Row],[Item]], Embalamento[Preço]) + CaProdutos[[#This Row],[Custo de Produção (1 un.)]] / (1 - INDEX(ConfPrec[Despesas Variáveis], 1)), "")</f>
        <v>0.41544398593917164</v>
      </c>
    </row>
    <row r="27" spans="2:13">
      <c r="B27" s="1">
        <v>21</v>
      </c>
      <c r="C27" t="s">
        <v>213</v>
      </c>
      <c r="H27" s="1"/>
      <c r="I27" s="1"/>
      <c r="J27" s="9">
        <f>IF(CaProdutos[[#This Row],[Item]] &lt;&gt; "", SUMIF(Ingredientes[Produto], "=" &amp; CaProdutos[[#This Row],[Item]], Ingredientes[preço]), "")</f>
        <v>10.99</v>
      </c>
      <c r="K27" s="15">
        <v>8</v>
      </c>
      <c r="L27" s="9">
        <f>IFERROR(CaProdutos[[#This Row],[Custo do Lote]] / CaProdutos[[#This Row],[Un. Por Lote]], "")</f>
        <v>1.37375</v>
      </c>
      <c r="M27" s="13">
        <f>IFERROR(SUMIF(Embalamento[Produto], "=" &amp; CaProdutos[[#This Row],[Item]], Embalamento[Preço]) + CaProdutos[[#This Row],[Custo de Produção (1 un.)]] / (1 - INDEX(ConfPrec[Despesas Variáveis], 1)), "")</f>
        <v>1.8896148555708392</v>
      </c>
    </row>
    <row r="28" spans="2:13">
      <c r="B28" s="1">
        <v>22</v>
      </c>
      <c r="C28" t="s">
        <v>216</v>
      </c>
      <c r="H28" s="1"/>
      <c r="I28" s="1"/>
      <c r="J28" s="9">
        <f>IF(CaProdutos[[#This Row],[Item]] &lt;&gt; "", SUMIF(Ingredientes[Produto], "=" &amp; CaProdutos[[#This Row],[Item]], Ingredientes[preço]), "")</f>
        <v>0.69799999999999995</v>
      </c>
      <c r="K28" s="15">
        <v>1</v>
      </c>
      <c r="L28" s="9">
        <f>IFERROR(CaProdutos[[#This Row],[Custo do Lote]] / CaProdutos[[#This Row],[Un. Por Lote]], "")</f>
        <v>0.69799999999999995</v>
      </c>
      <c r="M28" s="13">
        <f>IFERROR(SUMIF(Embalamento[Produto], "=" &amp; CaProdutos[[#This Row],[Item]], Embalamento[Preço]) + CaProdutos[[#This Row],[Custo de Produção (1 un.)]] / (1 - INDEX(ConfPrec[Despesas Variáveis], 1)), "")</f>
        <v>0.9601100412654745</v>
      </c>
    </row>
    <row r="29" spans="2:13">
      <c r="B29" s="1">
        <v>30</v>
      </c>
      <c r="C29" t="s">
        <v>227</v>
      </c>
      <c r="H29" s="1"/>
      <c r="I29" s="1"/>
      <c r="J29" s="9">
        <f>IF(CaProdutos[[#This Row],[Item]] &lt;&gt; "", SUMIF(Ingredientes[Produto], "=" &amp; CaProdutos[[#This Row],[Item]], Ingredientes[preço]), "")</f>
        <v>0</v>
      </c>
      <c r="K29" s="15">
        <v>2</v>
      </c>
      <c r="L29" s="9">
        <f>IFERROR(CaProdutos[[#This Row],[Custo do Lote]] / CaProdutos[[#This Row],[Un. Por Lote]], "")</f>
        <v>0</v>
      </c>
      <c r="M29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30" spans="2:13">
      <c r="B30" s="1"/>
      <c r="H30" s="1"/>
      <c r="I30" s="1"/>
      <c r="J30" s="9" t="str">
        <f>IF(CaProdutos[[#This Row],[Item]] &lt;&gt; "", SUMIF(Ingredientes[Produto], "=" &amp; CaProdutos[[#This Row],[Item]], Ingredientes[preço]), "")</f>
        <v/>
      </c>
      <c r="K30" s="15"/>
      <c r="L30" s="9" t="str">
        <f>IFERROR(CaProdutos[[#This Row],[Custo do Lote]] / CaProdutos[[#This Row],[Un. Por Lote]], "")</f>
        <v/>
      </c>
      <c r="M30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1" spans="2:13">
      <c r="B31" s="1"/>
      <c r="H31" s="1"/>
      <c r="I31" s="1"/>
      <c r="J31" s="9" t="str">
        <f>IF(CaProdutos[[#This Row],[Item]] &lt;&gt; "", SUMIF(Ingredientes[Produto], "=" &amp; CaProdutos[[#This Row],[Item]], Ingredientes[preço]), "")</f>
        <v/>
      </c>
      <c r="K31" s="15"/>
      <c r="L31" s="9" t="str">
        <f>IFERROR(CaProdutos[[#This Row],[Custo do Lote]] / CaProdutos[[#This Row],[Un. Por Lote]], "")</f>
        <v/>
      </c>
      <c r="M31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2" spans="2:13">
      <c r="B32" s="1"/>
      <c r="H32" s="1"/>
      <c r="I32" s="1"/>
      <c r="J32" s="9" t="str">
        <f>IF(CaProdutos[[#This Row],[Item]] &lt;&gt; "", SUMIF(Ingredientes[Produto], "=" &amp; CaProdutos[[#This Row],[Item]], Ingredientes[preço]), "")</f>
        <v/>
      </c>
      <c r="K32" s="15"/>
      <c r="L32" s="9" t="str">
        <f>IFERROR(CaProdutos[[#This Row],[Custo do Lote]] / CaProdutos[[#This Row],[Un. Por Lote]], "")</f>
        <v/>
      </c>
      <c r="M3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3" spans="2:13">
      <c r="B33" s="1"/>
      <c r="H33" s="1"/>
      <c r="I33" s="1"/>
      <c r="J33" s="9" t="str">
        <f>IF(CaProdutos[[#This Row],[Item]] &lt;&gt; "", SUMIF(Ingredientes[Produto], "=" &amp; CaProdutos[[#This Row],[Item]], Ingredientes[preço]), "")</f>
        <v/>
      </c>
      <c r="K33" s="15"/>
      <c r="L33" s="9" t="str">
        <f>IFERROR(CaProdutos[[#This Row],[Custo do Lote]] / CaProdutos[[#This Row],[Un. Por Lote]], "")</f>
        <v/>
      </c>
      <c r="M3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4" spans="2:13">
      <c r="B34" s="1"/>
      <c r="H34" s="1"/>
      <c r="I34" s="1"/>
      <c r="J34" s="9" t="str">
        <f>IF(CaProdutos[[#This Row],[Item]] &lt;&gt; "", SUMIF(Ingredientes[Produto], "=" &amp; CaProdutos[[#This Row],[Item]], Ingredientes[preço]), "")</f>
        <v/>
      </c>
      <c r="K34" s="15"/>
      <c r="L34" s="9" t="str">
        <f>IFERROR(CaProdutos[[#This Row],[Custo do Lote]] / CaProdutos[[#This Row],[Un. Por Lote]], "")</f>
        <v/>
      </c>
      <c r="M3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5" spans="2:13">
      <c r="B35" s="1"/>
      <c r="H35" s="1"/>
      <c r="I35" s="1"/>
      <c r="J35" s="9" t="str">
        <f>IF(CaProdutos[[#This Row],[Item]] &lt;&gt; "", SUMIF(Ingredientes[Produto], "=" &amp; CaProdutos[[#This Row],[Item]], Ingredientes[preço]), "")</f>
        <v/>
      </c>
      <c r="K35" s="15"/>
      <c r="L35" s="9" t="str">
        <f>IFERROR(CaProdutos[[#This Row],[Custo do Lote]] / CaProdutos[[#This Row],[Un. Por Lote]], "")</f>
        <v/>
      </c>
      <c r="M3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6" spans="2:13">
      <c r="B36" s="1"/>
      <c r="H36" s="1"/>
      <c r="I36" s="1"/>
      <c r="J36" s="9" t="str">
        <f>IF(CaProdutos[[#This Row],[Item]] &lt;&gt; "", SUMIF(Ingredientes[Produto], "=" &amp; CaProdutos[[#This Row],[Item]], Ingredientes[preço]), "")</f>
        <v/>
      </c>
      <c r="K36" s="15"/>
      <c r="L36" s="9" t="str">
        <f>IFERROR(CaProdutos[[#This Row],[Custo do Lote]] / CaProdutos[[#This Row],[Un. Por Lote]], "")</f>
        <v/>
      </c>
      <c r="M3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7" spans="2:13">
      <c r="B37" s="1"/>
      <c r="H37" s="1"/>
      <c r="I37" s="1"/>
      <c r="J37" s="9" t="str">
        <f>IF(CaProdutos[[#This Row],[Item]] &lt;&gt; "", SUMIF(Ingredientes[Produto], "=" &amp; CaProdutos[[#This Row],[Item]], Ingredientes[preço]), "")</f>
        <v/>
      </c>
      <c r="K37" s="15"/>
      <c r="L37" s="9" t="str">
        <f>IFERROR(CaProdutos[[#This Row],[Custo do Lote]] / CaProdutos[[#This Row],[Un. Por Lote]], "")</f>
        <v/>
      </c>
      <c r="M37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8" spans="2:13">
      <c r="B38" s="1"/>
      <c r="H38" s="1"/>
      <c r="I38" s="1"/>
      <c r="J38" s="9" t="str">
        <f>IF(CaProdutos[[#This Row],[Item]] &lt;&gt; "", SUMIF(Ingredientes[Produto], "=" &amp; CaProdutos[[#This Row],[Item]], Ingredientes[preço]), "")</f>
        <v/>
      </c>
      <c r="K38" s="15"/>
      <c r="L38" s="9" t="str">
        <f>IFERROR(CaProdutos[[#This Row],[Custo do Lote]] / CaProdutos[[#This Row],[Un. Por Lote]], "")</f>
        <v/>
      </c>
      <c r="M38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39" spans="2:13">
      <c r="B39" s="1"/>
      <c r="H39" s="1"/>
      <c r="I39" s="1"/>
      <c r="J39" s="9" t="str">
        <f>IF(CaProdutos[[#This Row],[Item]] &lt;&gt; "", SUMIF(Ingredientes[Produto], "=" &amp; CaProdutos[[#This Row],[Item]], Ingredientes[preço]), "")</f>
        <v/>
      </c>
      <c r="K39" s="15"/>
      <c r="L39" s="9" t="str">
        <f>IFERROR(CaProdutos[[#This Row],[Custo do Lote]] / CaProdutos[[#This Row],[Un. Por Lote]], "")</f>
        <v/>
      </c>
      <c r="M39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0" spans="2:13">
      <c r="B40" s="1"/>
      <c r="H40" s="1"/>
      <c r="I40" s="1"/>
      <c r="J40" s="9" t="str">
        <f>IF(CaProdutos[[#This Row],[Item]] &lt;&gt; "", SUMIF(Ingredientes[Produto], "=" &amp; CaProdutos[[#This Row],[Item]], Ingredientes[preço]), "")</f>
        <v/>
      </c>
      <c r="K40" s="15"/>
      <c r="L40" s="9" t="str">
        <f>IFERROR(CaProdutos[[#This Row],[Custo do Lote]] / CaProdutos[[#This Row],[Un. Por Lote]], "")</f>
        <v/>
      </c>
      <c r="M40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1" spans="2:13">
      <c r="B41" s="1"/>
      <c r="H41" s="1"/>
      <c r="I41" s="1"/>
      <c r="J41" s="9" t="str">
        <f>IF(CaProdutos[[#This Row],[Item]] &lt;&gt; "", SUMIF(Ingredientes[Produto], "=" &amp; CaProdutos[[#This Row],[Item]], Ingredientes[preço]), "")</f>
        <v/>
      </c>
      <c r="K41" s="15"/>
      <c r="L41" s="9" t="str">
        <f>IFERROR(CaProdutos[[#This Row],[Custo do Lote]] / CaProdutos[[#This Row],[Un. Por Lote]], "")</f>
        <v/>
      </c>
      <c r="M41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2" spans="2:13">
      <c r="B42" s="1"/>
      <c r="H42" s="1"/>
      <c r="I42" s="1"/>
      <c r="J42" s="9" t="str">
        <f>IF(CaProdutos[[#This Row],[Item]] &lt;&gt; "", SUMIF(Ingredientes[Produto], "=" &amp; CaProdutos[[#This Row],[Item]], Ingredientes[preço]), "")</f>
        <v/>
      </c>
      <c r="K42" s="15"/>
      <c r="L42" s="9" t="str">
        <f>IFERROR(CaProdutos[[#This Row],[Custo do Lote]] / CaProdutos[[#This Row],[Un. Por Lote]], "")</f>
        <v/>
      </c>
      <c r="M4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3" spans="2:13">
      <c r="B43" s="1"/>
      <c r="H43" s="1"/>
      <c r="I43" s="1"/>
      <c r="J43" s="9" t="str">
        <f>IF(CaProdutos[[#This Row],[Item]] &lt;&gt; "", SUMIF(Ingredientes[Produto], "=" &amp; CaProdutos[[#This Row],[Item]], Ingredientes[preço]), "")</f>
        <v/>
      </c>
      <c r="K43" s="15"/>
      <c r="L43" s="9" t="str">
        <f>IFERROR(CaProdutos[[#This Row],[Custo do Lote]] / CaProdutos[[#This Row],[Un. Por Lote]], "")</f>
        <v/>
      </c>
      <c r="M4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4" spans="2:13">
      <c r="B44" s="1"/>
      <c r="H44" s="1"/>
      <c r="I44" s="1"/>
      <c r="J44" s="9" t="str">
        <f>IF(CaProdutos[[#This Row],[Item]] &lt;&gt; "", SUMIF(Ingredientes[Produto], "=" &amp; CaProdutos[[#This Row],[Item]], Ingredientes[preço]), "")</f>
        <v/>
      </c>
      <c r="K44" s="15"/>
      <c r="L44" s="9" t="str">
        <f>IFERROR(CaProdutos[[#This Row],[Custo do Lote]] / CaProdutos[[#This Row],[Un. Por Lote]], "")</f>
        <v/>
      </c>
      <c r="M4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5" spans="2:13">
      <c r="B45" s="1"/>
      <c r="H45" s="1"/>
      <c r="I45" s="1"/>
      <c r="J45" s="9" t="str">
        <f>IF(CaProdutos[[#This Row],[Item]] &lt;&gt; "", SUMIF(Ingredientes[Produto], "=" &amp; CaProdutos[[#This Row],[Item]], Ingredientes[preço]), "")</f>
        <v/>
      </c>
      <c r="K45" s="15"/>
      <c r="L45" s="9" t="str">
        <f>IFERROR(CaProdutos[[#This Row],[Custo do Lote]] / CaProdutos[[#This Row],[Un. Por Lote]], "")</f>
        <v/>
      </c>
      <c r="M4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6" spans="2:13">
      <c r="B46" s="1"/>
      <c r="H46" s="1"/>
      <c r="I46" s="1"/>
      <c r="J46" s="9" t="str">
        <f>IF(CaProdutos[[#This Row],[Item]] &lt;&gt; "", SUMIF(Ingredientes[Produto], "=" &amp; CaProdutos[[#This Row],[Item]], Ingredientes[preço]), "")</f>
        <v/>
      </c>
      <c r="K46" s="15"/>
      <c r="L46" s="9" t="str">
        <f>IFERROR(CaProdutos[[#This Row],[Custo do Lote]] / CaProdutos[[#This Row],[Un. Por Lote]], "")</f>
        <v/>
      </c>
      <c r="M4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7" spans="2:13">
      <c r="B47" s="1"/>
      <c r="H47" s="1"/>
      <c r="I47" s="1"/>
      <c r="J47" s="9" t="str">
        <f>IF(CaProdutos[[#This Row],[Item]] &lt;&gt; "", SUMIF(Ingredientes[Produto], "=" &amp; CaProdutos[[#This Row],[Item]], Ingredientes[preço]), "")</f>
        <v/>
      </c>
      <c r="K47" s="15"/>
      <c r="L47" s="9" t="str">
        <f>IFERROR(CaProdutos[[#This Row],[Custo do Lote]] / CaProdutos[[#This Row],[Un. Por Lote]], "")</f>
        <v/>
      </c>
      <c r="M47" s="13" t="str">
        <f>IFERROR(SUMIF(Embalamento[Produto], "=" &amp; CaProdutos[[#This Row],[Item]], Embalamento[Preço]) + CaProdutos[[#This Row],[Custo de Produção (1 un.)]] / (1 - INDEX(ConfPrec[Despesas Variáveis], 1)), "")</f>
        <v/>
      </c>
    </row>
  </sheetData>
  <phoneticPr fontId="12" type="noConversion"/>
  <dataValidations disablePrompts="1" count="2">
    <dataValidation type="list" allowBlank="1" showInputMessage="1" showErrorMessage="1" sqref="I5:I47" xr:uid="{8C6C6443-F151-4AAF-9960-4DAAEAEBE127}">
      <formula1>"A,B,C"</formula1>
    </dataValidation>
    <dataValidation type="list" allowBlank="1" showInputMessage="1" showErrorMessage="1" sqref="D5:F47" xr:uid="{D3CF1102-8C84-4FDA-8C09-2C08B30C1AD5}">
      <formula1>INDIRECT("insumos[item]")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6F2B-9814-4E59-ABC3-D620C82CEFC6}">
  <sheetPr codeName="Planilha5"/>
  <dimension ref="B4:G71"/>
  <sheetViews>
    <sheetView workbookViewId="0">
      <selection activeCell="J7" sqref="J7"/>
    </sheetView>
  </sheetViews>
  <sheetFormatPr defaultRowHeight="15"/>
  <cols>
    <col min="3" max="3" width="20.7109375" customWidth="1"/>
    <col min="4" max="6" width="15.7109375" style="4" customWidth="1"/>
    <col min="7" max="7" width="15.7109375" customWidth="1"/>
  </cols>
  <sheetData>
    <row r="4" spans="2:7" ht="33" customHeight="1">
      <c r="B4" s="1" t="s">
        <v>4</v>
      </c>
      <c r="C4" s="7" t="s">
        <v>21</v>
      </c>
      <c r="D4" s="11" t="s">
        <v>46</v>
      </c>
      <c r="E4" s="11" t="s">
        <v>48</v>
      </c>
      <c r="F4" s="11" t="s">
        <v>49</v>
      </c>
      <c r="G4" s="1" t="s">
        <v>47</v>
      </c>
    </row>
    <row r="5" spans="2:7">
      <c r="B5">
        <f>IF(estoque[[#This Row],[Item]] &lt;&gt; "", INDEX(insumos[ID], MATCH(estoque[[#This Row],[Item]], insumos[item], 0)), "")</f>
        <v>5</v>
      </c>
      <c r="C5" t="str">
        <f>insumos[[#This Row],[item]]</f>
        <v>Abacaxi</v>
      </c>
      <c r="D5" s="18">
        <f>INDEX(insumos[quantidade], MATCH(estoque[[#This Row],[Item]], insumos[item], 0))</f>
        <v>1</v>
      </c>
      <c r="E5" s="18"/>
      <c r="G5" s="4" t="str">
        <f>INDEX(insumos[medida], MATCH(estoque[[#This Row],[Item]], insumos[item], 0))</f>
        <v>Unidades</v>
      </c>
    </row>
    <row r="6" spans="2:7">
      <c r="B6">
        <f>IF(estoque[[#This Row],[Item]] &lt;&gt; "", INDEX(insumos[ID], MATCH(estoque[[#This Row],[Item]], insumos[item], 0)), "")</f>
        <v>11</v>
      </c>
      <c r="C6" t="str">
        <f>insumos[[#This Row],[item]]</f>
        <v>Açúcar</v>
      </c>
      <c r="D6" s="18">
        <f>INDEX(insumos[quantidade], MATCH(estoque[[#This Row],[Item]], insumos[item], 0))</f>
        <v>1000</v>
      </c>
      <c r="E6" s="18"/>
      <c r="G6" s="4" t="str">
        <f>INDEX(insumos[medida], MATCH(estoque[[#This Row],[Item]], insumos[item], 0))</f>
        <v>Gramas</v>
      </c>
    </row>
    <row r="7" spans="2:7">
      <c r="B7">
        <f>IF(estoque[[#This Row],[Item]] &lt;&gt; "", INDEX(insumos[ID], MATCH(estoque[[#This Row],[Item]], insumos[item], 0)), "")</f>
        <v>6</v>
      </c>
      <c r="C7" t="str">
        <f>insumos[[#This Row],[item]]</f>
        <v>Alface</v>
      </c>
      <c r="D7" s="18">
        <f>INDEX(insumos[quantidade], MATCH(estoque[[#This Row],[Item]], insumos[item], 0))</f>
        <v>15</v>
      </c>
      <c r="E7" s="18"/>
      <c r="G7" s="4" t="str">
        <f>INDEX(insumos[medida], MATCH(estoque[[#This Row],[Item]], insumos[item], 0))</f>
        <v>Unidades</v>
      </c>
    </row>
    <row r="8" spans="2:7">
      <c r="B8">
        <f>IF(estoque[[#This Row],[Item]] &lt;&gt; "", INDEX(insumos[ID], MATCH(estoque[[#This Row],[Item]], insumos[item], 0)), "")</f>
        <v>45</v>
      </c>
      <c r="C8" t="str">
        <f>insumos[[#This Row],[item]]</f>
        <v>Alho</v>
      </c>
      <c r="D8" s="18">
        <f>INDEX(insumos[quantidade], MATCH(estoque[[#This Row],[Item]], insumos[item], 0))</f>
        <v>1000</v>
      </c>
      <c r="E8" s="18"/>
      <c r="G8" s="4" t="str">
        <f>INDEX(insumos[medida], MATCH(estoque[[#This Row],[Item]], insumos[item], 0))</f>
        <v>Gramas</v>
      </c>
    </row>
    <row r="9" spans="2:7">
      <c r="B9">
        <f>IF(estoque[[#This Row],[Item]] &lt;&gt; "", INDEX(insumos[ID], MATCH(estoque[[#This Row],[Item]], insumos[item], 0)), "")</f>
        <v>35</v>
      </c>
      <c r="C9" t="str">
        <f>insumos[[#This Row],[item]]</f>
        <v>Amstel 350</v>
      </c>
      <c r="D9" s="18">
        <f>INDEX(insumos[quantidade], MATCH(estoque[[#This Row],[Item]], insumos[item], 0))</f>
        <v>1</v>
      </c>
      <c r="E9" s="18"/>
      <c r="G9" s="4" t="str">
        <f>INDEX(insumos[medida], MATCH(estoque[[#This Row],[Item]], insumos[item], 0))</f>
        <v>Unidades</v>
      </c>
    </row>
    <row r="10" spans="2:7">
      <c r="B10">
        <f>IF(estoque[[#This Row],[Item]] &lt;&gt; "", INDEX(insumos[ID], MATCH(estoque[[#This Row],[Item]], insumos[item], 0)), "")</f>
        <v>44</v>
      </c>
      <c r="C10" t="str">
        <f>insumos[[#This Row],[item]]</f>
        <v>Arroz</v>
      </c>
      <c r="D10" s="18">
        <f>INDEX(insumos[quantidade], MATCH(estoque[[#This Row],[Item]], insumos[item], 0))</f>
        <v>5000</v>
      </c>
      <c r="E10" s="18"/>
      <c r="G10" s="4" t="str">
        <f>INDEX(insumos[medida], MATCH(estoque[[#This Row],[Item]], insumos[item], 0))</f>
        <v>Gramas</v>
      </c>
    </row>
    <row r="11" spans="2:7">
      <c r="B11">
        <f>IF(estoque[[#This Row],[Item]] &lt;&gt; "", INDEX(insumos[ID], MATCH(estoque[[#This Row],[Item]], insumos[item], 0)), "")</f>
        <v>51</v>
      </c>
      <c r="C11" t="str">
        <f>insumos[[#This Row],[item]]</f>
        <v>Azeitona Preta</v>
      </c>
      <c r="D11" s="18">
        <f>INDEX(insumos[quantidade], MATCH(estoque[[#This Row],[Item]], insumos[item], 0))</f>
        <v>230</v>
      </c>
      <c r="E11" s="18"/>
      <c r="G11" s="4" t="str">
        <f>INDEX(insumos[medida], MATCH(estoque[[#This Row],[Item]], insumos[item], 0))</f>
        <v>Gramas</v>
      </c>
    </row>
    <row r="12" spans="2:7">
      <c r="B12">
        <f>IF(estoque[[#This Row],[Item]] &lt;&gt; "", INDEX(insumos[ID], MATCH(estoque[[#This Row],[Item]], insumos[item], 0)), "")</f>
        <v>10</v>
      </c>
      <c r="C12" t="str">
        <f>insumos[[#This Row],[item]]</f>
        <v>Bacon</v>
      </c>
      <c r="D12" s="18">
        <f>INDEX(insumos[quantidade], MATCH(estoque[[#This Row],[Item]], insumos[item], 0))</f>
        <v>1000</v>
      </c>
      <c r="E12" s="18"/>
      <c r="G12" s="4" t="str">
        <f>INDEX(insumos[medida], MATCH(estoque[[#This Row],[Item]], insumos[item], 0))</f>
        <v>Gramas</v>
      </c>
    </row>
    <row r="13" spans="2:7">
      <c r="B13">
        <f>IF(estoque[[#This Row],[Item]] &lt;&gt; "", INDEX(insumos[ID], MATCH(estoque[[#This Row],[Item]], insumos[item], 0)), "")</f>
        <v>12</v>
      </c>
      <c r="C13" t="str">
        <f>insumos[[#This Row],[item]]</f>
        <v>Barbecue</v>
      </c>
      <c r="D13" s="18">
        <f>INDEX(insumos[quantidade], MATCH(estoque[[#This Row],[Item]], insumos[item], 0))</f>
        <v>3500</v>
      </c>
      <c r="E13" s="18"/>
      <c r="G13" s="4" t="str">
        <f>INDEX(insumos[medida], MATCH(estoque[[#This Row],[Item]], insumos[item], 0))</f>
        <v>Gramas</v>
      </c>
    </row>
    <row r="14" spans="2:7">
      <c r="B14">
        <f>IF(estoque[[#This Row],[Item]] &lt;&gt; "", INDEX(insumos[ID], MATCH(estoque[[#This Row],[Item]], insumos[item], 0)), "")</f>
        <v>21</v>
      </c>
      <c r="C14" t="str">
        <f>insumos[[#This Row],[item]]</f>
        <v>Batata Palha</v>
      </c>
      <c r="D14" s="18">
        <f>INDEX(insumos[quantidade], MATCH(estoque[[#This Row],[Item]], insumos[item], 0))</f>
        <v>800</v>
      </c>
      <c r="E14" s="18"/>
      <c r="G14" s="4" t="str">
        <f>INDEX(insumos[medida], MATCH(estoque[[#This Row],[Item]], insumos[item], 0))</f>
        <v>Gramas</v>
      </c>
    </row>
    <row r="15" spans="2:7">
      <c r="B15">
        <f>IF(estoque[[#This Row],[Item]] &lt;&gt; "", INDEX(insumos[ID], MATCH(estoque[[#This Row],[Item]], insumos[item], 0)), "")</f>
        <v>34</v>
      </c>
      <c r="C15" t="str">
        <f>insumos[[#This Row],[item]]</f>
        <v>Brahma Chopp 350</v>
      </c>
      <c r="D15" s="18">
        <f>INDEX(insumos[quantidade], MATCH(estoque[[#This Row],[Item]], insumos[item], 0))</f>
        <v>1</v>
      </c>
      <c r="E15" s="18"/>
      <c r="G15" s="4" t="str">
        <f>INDEX(insumos[medida], MATCH(estoque[[#This Row],[Item]], insumos[item], 0))</f>
        <v>Unidades</v>
      </c>
    </row>
    <row r="16" spans="2:7">
      <c r="B16">
        <f>IF(estoque[[#This Row],[Item]] &lt;&gt; "", INDEX(insumos[ID], MATCH(estoque[[#This Row],[Item]], insumos[item], 0)), "")</f>
        <v>24</v>
      </c>
      <c r="C16" t="str">
        <f>insumos[[#This Row],[item]]</f>
        <v>Carvão</v>
      </c>
      <c r="D16" s="18">
        <f>INDEX(insumos[quantidade], MATCH(estoque[[#This Row],[Item]], insumos[item], 0))</f>
        <v>4000</v>
      </c>
      <c r="E16" s="18"/>
      <c r="G16" s="4" t="str">
        <f>INDEX(insumos[medida], MATCH(estoque[[#This Row],[Item]], insumos[item], 0))</f>
        <v>Gramas</v>
      </c>
    </row>
    <row r="17" spans="2:7">
      <c r="B17">
        <f>IF(estoque[[#This Row],[Item]] &lt;&gt; "", INDEX(insumos[ID], MATCH(estoque[[#This Row],[Item]], insumos[item], 0)), "")</f>
        <v>1</v>
      </c>
      <c r="C17" t="str">
        <f>insumos[[#This Row],[item]]</f>
        <v>Cebola Nacional</v>
      </c>
      <c r="D17" s="18">
        <f>INDEX(insumos[quantidade], MATCH(estoque[[#This Row],[Item]], insumos[item], 0))</f>
        <v>1000</v>
      </c>
      <c r="E17" s="18"/>
      <c r="G17" s="4" t="str">
        <f>INDEX(insumos[medida], MATCH(estoque[[#This Row],[Item]], insumos[item], 0))</f>
        <v>Gramas</v>
      </c>
    </row>
    <row r="18" spans="2:7">
      <c r="B18">
        <f>IF(estoque[[#This Row],[Item]] &lt;&gt; "", INDEX(insumos[ID], MATCH(estoque[[#This Row],[Item]], insumos[item], 0)), "")</f>
        <v>8</v>
      </c>
      <c r="C18" t="str">
        <f>insumos[[#This Row],[item]]</f>
        <v>Cebolinha e Salsa</v>
      </c>
      <c r="D18" s="18">
        <f>INDEX(insumos[quantidade], MATCH(estoque[[#This Row],[Item]], insumos[item], 0))</f>
        <v>60</v>
      </c>
      <c r="E18" s="18"/>
      <c r="G18" s="4" t="str">
        <f>INDEX(insumos[medida], MATCH(estoque[[#This Row],[Item]], insumos[item], 0))</f>
        <v>Unidades</v>
      </c>
    </row>
    <row r="19" spans="2:7">
      <c r="B19">
        <f>IF(estoque[[#This Row],[Item]] &lt;&gt; "", INDEX(insumos[ID], MATCH(estoque[[#This Row],[Item]], insumos[item], 0)), "")</f>
        <v>47</v>
      </c>
      <c r="C19" t="str">
        <f>insumos[[#This Row],[item]]</f>
        <v>Cheddar</v>
      </c>
      <c r="D19" s="18">
        <f>INDEX(insumos[quantidade], MATCH(estoque[[#This Row],[Item]], insumos[item], 0))</f>
        <v>5000</v>
      </c>
      <c r="E19" s="18"/>
      <c r="G19" s="4" t="str">
        <f>INDEX(insumos[medida], MATCH(estoque[[#This Row],[Item]], insumos[item], 0))</f>
        <v>Gramas</v>
      </c>
    </row>
    <row r="20" spans="2:7">
      <c r="B20">
        <f>IF(estoque[[#This Row],[Item]] &lt;&gt; "", INDEX(insumos[ID], MATCH(estoque[[#This Row],[Item]], insumos[item], 0)), "")</f>
        <v>28</v>
      </c>
      <c r="C20" t="str">
        <f>insumos[[#This Row],[item]]</f>
        <v>Coca Cola 2,5</v>
      </c>
      <c r="D20" s="18">
        <f>INDEX(insumos[quantidade], MATCH(estoque[[#This Row],[Item]], insumos[item], 0))</f>
        <v>1</v>
      </c>
      <c r="E20" s="18"/>
      <c r="G20" s="4" t="str">
        <f>INDEX(insumos[medida], MATCH(estoque[[#This Row],[Item]], insumos[item], 0))</f>
        <v>Unidades</v>
      </c>
    </row>
    <row r="21" spans="2:7">
      <c r="B21">
        <f>IF(estoque[[#This Row],[Item]] &lt;&gt; "", INDEX(insumos[ID], MATCH(estoque[[#This Row],[Item]], insumos[item], 0)), "")</f>
        <v>29</v>
      </c>
      <c r="C21" t="str">
        <f>insumos[[#This Row],[item]]</f>
        <v>Coca Cola Lata 350</v>
      </c>
      <c r="D21" s="18">
        <f>INDEX(insumos[quantidade], MATCH(estoque[[#This Row],[Item]], insumos[item], 0))</f>
        <v>1</v>
      </c>
      <c r="E21" s="18"/>
      <c r="G21" s="4" t="str">
        <f>INDEX(insumos[medida], MATCH(estoque[[#This Row],[Item]], insumos[item], 0))</f>
        <v>Unidades</v>
      </c>
    </row>
    <row r="22" spans="2:7">
      <c r="B22">
        <f>IF(estoque[[#This Row],[Item]] &lt;&gt; "", INDEX(insumos[ID], MATCH(estoque[[#This Row],[Item]], insumos[item], 0)), "")</f>
        <v>38</v>
      </c>
      <c r="C22" t="str">
        <f>insumos[[#This Row],[item]]</f>
        <v>Coca Cola Zero 600</v>
      </c>
      <c r="D22" s="18">
        <f>INDEX(insumos[quantidade], MATCH(estoque[[#This Row],[Item]], insumos[item], 0))</f>
        <v>1</v>
      </c>
      <c r="E22" s="18"/>
      <c r="G22" s="4" t="str">
        <f>INDEX(insumos[medida], MATCH(estoque[[#This Row],[Item]], insumos[item], 0))</f>
        <v>Unidades</v>
      </c>
    </row>
    <row r="23" spans="2:7">
      <c r="B23">
        <f>IF(estoque[[#This Row],[Item]] &lt;&gt; "", INDEX(insumos[ID], MATCH(estoque[[#This Row],[Item]], insumos[item], 0)), "")</f>
        <v>30</v>
      </c>
      <c r="C23" t="str">
        <f>insumos[[#This Row],[item]]</f>
        <v>Coca Cola Zero Lata 350</v>
      </c>
      <c r="D23" s="18">
        <f>INDEX(insumos[quantidade], MATCH(estoque[[#This Row],[Item]], insumos[item], 0))</f>
        <v>1</v>
      </c>
      <c r="E23" s="18"/>
      <c r="G23" s="4" t="str">
        <f>INDEX(insumos[medida], MATCH(estoque[[#This Row],[Item]], insumos[item], 0))</f>
        <v>Unidades</v>
      </c>
    </row>
    <row r="24" spans="2:7">
      <c r="B24">
        <f>IF(estoque[[#This Row],[Item]] &lt;&gt; "", INDEX(insumos[ID], MATCH(estoque[[#This Row],[Item]], insumos[item], 0)), "")</f>
        <v>22</v>
      </c>
      <c r="C24" t="str">
        <f>insumos[[#This Row],[item]]</f>
        <v>Creme de Leite</v>
      </c>
      <c r="D24" s="18">
        <f>INDEX(insumos[quantidade], MATCH(estoque[[#This Row],[Item]], insumos[item], 0))</f>
        <v>200</v>
      </c>
      <c r="E24" s="18"/>
      <c r="G24" s="4" t="str">
        <f>INDEX(insumos[medida], MATCH(estoque[[#This Row],[Item]], insumos[item], 0))</f>
        <v>Gramas</v>
      </c>
    </row>
    <row r="25" spans="2:7">
      <c r="B25">
        <f>IF(estoque[[#This Row],[Item]] &lt;&gt; "", INDEX(insumos[ID], MATCH(estoque[[#This Row],[Item]], insumos[item], 0)), "")</f>
        <v>41</v>
      </c>
      <c r="C25" t="str">
        <f>insumos[[#This Row],[item]]</f>
        <v>Espetos Bovinos</v>
      </c>
      <c r="D25" s="18">
        <f>INDEX(insumos[quantidade], MATCH(estoque[[#This Row],[Item]], insumos[item], 0))</f>
        <v>10</v>
      </c>
      <c r="E25" s="18"/>
      <c r="G25" s="4" t="str">
        <f>INDEX(insumos[medida], MATCH(estoque[[#This Row],[Item]], insumos[item], 0))</f>
        <v>Unidades</v>
      </c>
    </row>
    <row r="26" spans="2:7">
      <c r="B26">
        <f>IF(estoque[[#This Row],[Item]] &lt;&gt; "", INDEX(insumos[ID], MATCH(estoque[[#This Row],[Item]], insumos[item], 0)), "")</f>
        <v>112</v>
      </c>
      <c r="C26" t="str">
        <f>insumos[[#This Row],[item]]</f>
        <v>Espetos De Coração</v>
      </c>
      <c r="D26" s="18">
        <f>INDEX(insumos[quantidade], MATCH(estoque[[#This Row],[Item]], insumos[item], 0))</f>
        <v>4</v>
      </c>
      <c r="E26" s="18"/>
      <c r="G26" s="4" t="str">
        <f>INDEX(insumos[medida], MATCH(estoque[[#This Row],[Item]], insumos[item], 0))</f>
        <v>Unidades</v>
      </c>
    </row>
    <row r="27" spans="2:7">
      <c r="B27">
        <f>IF(estoque[[#This Row],[Item]] &lt;&gt; "", INDEX(insumos[ID], MATCH(estoque[[#This Row],[Item]], insumos[item], 0)), "")</f>
        <v>117</v>
      </c>
      <c r="C27" t="str">
        <f>insumos[[#This Row],[item]]</f>
        <v>Espetos de Cupim</v>
      </c>
      <c r="D27" s="18">
        <f>INDEX(insumos[quantidade], MATCH(estoque[[#This Row],[Item]], insumos[item], 0))</f>
        <v>1000</v>
      </c>
      <c r="E27" s="18"/>
      <c r="G27" s="4" t="str">
        <f>INDEX(insumos[medida], MATCH(estoque[[#This Row],[Item]], insumos[item], 0))</f>
        <v>Gramas</v>
      </c>
    </row>
    <row r="28" spans="2:7">
      <c r="B28">
        <f>IF(estoque[[#This Row],[Item]] &lt;&gt; "", INDEX(insumos[ID], MATCH(estoque[[#This Row],[Item]], insumos[item], 0)), "")</f>
        <v>114</v>
      </c>
      <c r="C28" t="str">
        <f>insumos[[#This Row],[item]]</f>
        <v>Espetos de Queijo</v>
      </c>
      <c r="D28" s="18">
        <f>INDEX(insumos[quantidade], MATCH(estoque[[#This Row],[Item]], insumos[item], 0))</f>
        <v>5</v>
      </c>
      <c r="E28" s="18"/>
      <c r="G28" s="4" t="str">
        <f>INDEX(insumos[medida], MATCH(estoque[[#This Row],[Item]], insumos[item], 0))</f>
        <v>Unidades</v>
      </c>
    </row>
    <row r="29" spans="2:7">
      <c r="B29">
        <f>IF(estoque[[#This Row],[Item]] &lt;&gt; "", INDEX(insumos[ID], MATCH(estoque[[#This Row],[Item]], insumos[item], 0)), "")</f>
        <v>108</v>
      </c>
      <c r="C29" t="str">
        <f>insumos[[#This Row],[item]]</f>
        <v>Espetos Formadora</v>
      </c>
      <c r="D29" s="18">
        <f>INDEX(insumos[quantidade], MATCH(estoque[[#This Row],[Item]], insumos[item], 0))</f>
        <v>10</v>
      </c>
      <c r="E29" s="18"/>
      <c r="G29" s="4" t="str">
        <f>INDEX(insumos[medida], MATCH(estoque[[#This Row],[Item]], insumos[item], 0))</f>
        <v>Unidades</v>
      </c>
    </row>
    <row r="30" spans="2:7">
      <c r="B30">
        <f>IF(estoque[[#This Row],[Item]] &lt;&gt; "", INDEX(insumos[ID], MATCH(estoque[[#This Row],[Item]], insumos[item], 0)), "")</f>
        <v>109</v>
      </c>
      <c r="C30" t="str">
        <f>insumos[[#This Row],[item]]</f>
        <v>Espetos Frango</v>
      </c>
      <c r="D30" s="18">
        <f>INDEX(insumos[quantidade], MATCH(estoque[[#This Row],[Item]], insumos[item], 0))</f>
        <v>6</v>
      </c>
      <c r="E30" s="18"/>
      <c r="G30" s="4" t="str">
        <f>INDEX(insumos[medida], MATCH(estoque[[#This Row],[Item]], insumos[item], 0))</f>
        <v>Unidades</v>
      </c>
    </row>
    <row r="31" spans="2:7">
      <c r="D31" s="18"/>
      <c r="E31" s="18"/>
      <c r="G31" s="4"/>
    </row>
    <row r="32" spans="2:7">
      <c r="D32" s="18"/>
      <c r="E32" s="18"/>
      <c r="G32" s="4"/>
    </row>
    <row r="33" spans="4:7">
      <c r="D33" s="18"/>
      <c r="E33" s="18"/>
      <c r="G33" s="4"/>
    </row>
    <row r="34" spans="4:7">
      <c r="D34" s="18"/>
      <c r="E34" s="18"/>
      <c r="G34" s="4"/>
    </row>
    <row r="35" spans="4:7">
      <c r="D35" s="18"/>
      <c r="E35" s="18"/>
      <c r="G35" s="4"/>
    </row>
    <row r="36" spans="4:7">
      <c r="D36" s="18"/>
      <c r="E36" s="18"/>
      <c r="G36" s="4"/>
    </row>
    <row r="37" spans="4:7">
      <c r="D37" s="18"/>
      <c r="E37" s="18"/>
      <c r="G37" s="4"/>
    </row>
    <row r="38" spans="4:7">
      <c r="D38" s="18"/>
      <c r="E38" s="18"/>
      <c r="G38" s="4"/>
    </row>
    <row r="39" spans="4:7">
      <c r="D39" s="18"/>
      <c r="E39" s="18"/>
      <c r="G39" s="4"/>
    </row>
    <row r="40" spans="4:7">
      <c r="D40" s="18"/>
      <c r="E40" s="18"/>
      <c r="G40" s="4"/>
    </row>
    <row r="41" spans="4:7">
      <c r="D41" s="18"/>
      <c r="E41" s="18"/>
      <c r="G41" s="4"/>
    </row>
    <row r="42" spans="4:7">
      <c r="D42" s="18"/>
      <c r="E42" s="18"/>
      <c r="G42" s="4"/>
    </row>
    <row r="43" spans="4:7">
      <c r="D43" s="18"/>
      <c r="E43" s="18"/>
      <c r="G43" s="4"/>
    </row>
    <row r="44" spans="4:7">
      <c r="D44" s="18"/>
      <c r="E44" s="18"/>
      <c r="G44" s="4"/>
    </row>
    <row r="45" spans="4:7">
      <c r="D45" s="18"/>
      <c r="E45" s="18"/>
      <c r="G45" s="4"/>
    </row>
    <row r="46" spans="4:7">
      <c r="D46" s="18"/>
      <c r="E46" s="18"/>
      <c r="G46" s="4"/>
    </row>
    <row r="47" spans="4:7">
      <c r="D47" s="18"/>
      <c r="E47" s="18"/>
      <c r="G47" s="4"/>
    </row>
    <row r="48" spans="4:7">
      <c r="D48" s="18"/>
      <c r="E48" s="18"/>
      <c r="G48" s="4"/>
    </row>
    <row r="49" spans="4:7">
      <c r="D49" s="18"/>
      <c r="E49" s="18"/>
      <c r="G49" s="4"/>
    </row>
    <row r="50" spans="4:7">
      <c r="D50" s="18"/>
      <c r="E50" s="18"/>
      <c r="G50" s="4"/>
    </row>
    <row r="51" spans="4:7">
      <c r="D51" s="18"/>
      <c r="E51" s="18"/>
      <c r="G51" s="4"/>
    </row>
    <row r="52" spans="4:7">
      <c r="D52" s="18"/>
      <c r="E52" s="18"/>
      <c r="G52" s="4"/>
    </row>
    <row r="53" spans="4:7">
      <c r="D53" s="18"/>
      <c r="E53" s="18"/>
      <c r="G53" s="4"/>
    </row>
    <row r="54" spans="4:7">
      <c r="D54" s="18"/>
      <c r="E54" s="18"/>
      <c r="G54" s="4"/>
    </row>
    <row r="55" spans="4:7">
      <c r="D55" s="18"/>
      <c r="E55" s="18"/>
      <c r="G55" s="4"/>
    </row>
    <row r="56" spans="4:7">
      <c r="D56" s="18"/>
      <c r="E56" s="18"/>
      <c r="G56" s="4"/>
    </row>
    <row r="57" spans="4:7">
      <c r="D57" s="18"/>
      <c r="E57" s="18"/>
      <c r="G57" s="4"/>
    </row>
    <row r="58" spans="4:7">
      <c r="D58" s="18"/>
      <c r="E58" s="18"/>
      <c r="G58" s="4"/>
    </row>
    <row r="59" spans="4:7">
      <c r="D59" s="18"/>
      <c r="E59" s="18"/>
      <c r="G59" s="4"/>
    </row>
    <row r="60" spans="4:7">
      <c r="D60" s="18"/>
      <c r="E60" s="18"/>
      <c r="G60" s="4"/>
    </row>
    <row r="61" spans="4:7">
      <c r="D61" s="18"/>
      <c r="E61" s="18"/>
      <c r="G61" s="4"/>
    </row>
    <row r="62" spans="4:7">
      <c r="D62" s="18"/>
      <c r="E62" s="18"/>
      <c r="G62" s="4"/>
    </row>
    <row r="63" spans="4:7">
      <c r="D63" s="18"/>
      <c r="E63" s="18"/>
      <c r="G63" s="4"/>
    </row>
    <row r="64" spans="4:7">
      <c r="D64" s="18"/>
      <c r="E64" s="18"/>
      <c r="G64" s="4"/>
    </row>
    <row r="65" spans="4:7">
      <c r="D65" s="18"/>
      <c r="E65" s="18"/>
      <c r="G65" s="4"/>
    </row>
    <row r="66" spans="4:7">
      <c r="D66" s="18"/>
      <c r="E66" s="18"/>
      <c r="G66" s="4"/>
    </row>
    <row r="67" spans="4:7">
      <c r="D67" s="18"/>
      <c r="E67" s="18"/>
      <c r="G67" s="4"/>
    </row>
    <row r="68" spans="4:7">
      <c r="D68" s="18"/>
      <c r="E68" s="18"/>
      <c r="G68" s="4"/>
    </row>
    <row r="69" spans="4:7">
      <c r="D69" s="18"/>
      <c r="E69" s="18"/>
      <c r="G69" s="4"/>
    </row>
    <row r="70" spans="4:7">
      <c r="D70" s="18"/>
      <c r="E70" s="18"/>
      <c r="G70" s="4"/>
    </row>
    <row r="71" spans="4:7">
      <c r="D71" s="18"/>
      <c r="E71" s="18"/>
      <c r="G71" s="4"/>
    </row>
  </sheetData>
  <dataValidations count="2">
    <dataValidation type="list" allowBlank="1" showInputMessage="1" showErrorMessage="1" sqref="C5:C30" xr:uid="{04ED7E39-51C7-4F75-8587-DB3E6A7E2894}">
      <formula1>INDIRECT("insumos[item]")</formula1>
    </dataValidation>
    <dataValidation type="list" allowBlank="1" showInputMessage="1" showErrorMessage="1" sqref="G5:G30" xr:uid="{E8028594-9DC1-42AB-8270-E6BEFECEF61F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89FF-F758-4BB8-9777-7B3E8569C946}">
  <sheetPr codeName="Planilha6"/>
  <dimension ref="B2:K79"/>
  <sheetViews>
    <sheetView topLeftCell="A10" zoomScale="83" workbookViewId="0">
      <selection activeCell="G13" sqref="G13"/>
    </sheetView>
  </sheetViews>
  <sheetFormatPr defaultRowHeight="15"/>
  <cols>
    <col min="3" max="3" width="31.7109375" bestFit="1" customWidth="1"/>
    <col min="4" max="4" width="20.7109375" customWidth="1"/>
    <col min="5" max="11" width="15.7109375" customWidth="1"/>
  </cols>
  <sheetData>
    <row r="2" spans="2:11">
      <c r="B2" s="49" t="s">
        <v>61</v>
      </c>
      <c r="C2" s="49"/>
      <c r="D2" s="49"/>
      <c r="E2" s="49"/>
      <c r="F2" s="49"/>
      <c r="G2" s="49"/>
      <c r="H2" s="49"/>
      <c r="I2" s="49"/>
      <c r="J2" s="49"/>
      <c r="K2" s="49"/>
    </row>
    <row r="4" spans="2:11" ht="30">
      <c r="B4" s="1" t="s">
        <v>4</v>
      </c>
      <c r="C4" s="1" t="s">
        <v>63</v>
      </c>
      <c r="D4" s="7" t="s">
        <v>21</v>
      </c>
      <c r="E4" s="11" t="s">
        <v>59</v>
      </c>
      <c r="F4" s="11" t="s">
        <v>60</v>
      </c>
      <c r="G4" s="11" t="s">
        <v>62</v>
      </c>
      <c r="H4" s="1" t="s">
        <v>65</v>
      </c>
      <c r="I4" s="1" t="s">
        <v>66</v>
      </c>
      <c r="J4" s="1" t="s">
        <v>11</v>
      </c>
      <c r="K4" s="11" t="s">
        <v>64</v>
      </c>
    </row>
    <row r="5" spans="2:11">
      <c r="B5" t="str">
        <f>IFERROR(INDEX(insumos[ID], MATCH(Tabela14[[#This Row],[Item]], insumos[item], 0)), "")</f>
        <v/>
      </c>
      <c r="C5" t="s">
        <v>17</v>
      </c>
      <c r="D5" t="s">
        <v>6</v>
      </c>
      <c r="E5" s="23" t="str">
        <f>IF(Tabela14[[#This Row],[ID]] &lt;&gt; "", INDEX(insumos[preço], MATCH(Tabela14[[#This Row],[ID]], insumos[ID], 0)), "")</f>
        <v/>
      </c>
      <c r="F5" s="1">
        <v>90</v>
      </c>
      <c r="G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5" s="1" t="str">
        <f>IFERROR(ROUNDUP(Tabela14[[#This Row],[Pedido Mínimo]], Tabela14[[#This Row],[Arredondar]]), "")</f>
        <v/>
      </c>
      <c r="I5">
        <v>0</v>
      </c>
      <c r="J5" s="13" t="str">
        <f>IFERROR(Tabela14[[#This Row],[Pedido Mínimo]] * Tabela14[[#This Row],[Preço]], "")</f>
        <v/>
      </c>
      <c r="K5" s="13" t="str">
        <f>IFERROR(Tabela14[[#This Row],[Pedido]] * Tabela14[[#This Row],[Preço]], "")</f>
        <v/>
      </c>
    </row>
    <row r="6" spans="2:11">
      <c r="B6">
        <f>IFERROR(INDEX(insumos[ID], MATCH(Tabela14[[#This Row],[Item]], insumos[item], 0)), "")</f>
        <v>11</v>
      </c>
      <c r="C6" t="s">
        <v>17</v>
      </c>
      <c r="D6" t="s">
        <v>7</v>
      </c>
      <c r="E6" s="23">
        <f>IF(Tabela14[[#This Row],[ID]] &lt;&gt; "", INDEX(insumos[preço], MATCH(Tabela14[[#This Row],[ID]], insumos[ID], 0)), "")</f>
        <v>5</v>
      </c>
      <c r="F6" s="1">
        <v>90</v>
      </c>
      <c r="G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6" s="1" t="str">
        <f>IFERROR(ROUNDUP(Tabela14[[#This Row],[Pedido Mínimo]], Tabela14[[#This Row],[Arredondar]]), "")</f>
        <v/>
      </c>
      <c r="I6">
        <v>0</v>
      </c>
      <c r="J6" s="13" t="str">
        <f>IFERROR(Tabela14[[#This Row],[Pedido Mínimo]] * Tabela14[[#This Row],[Preço]], "")</f>
        <v/>
      </c>
      <c r="K6" s="13" t="str">
        <f>IFERROR(Tabela14[[#This Row],[Pedido]] * Tabela14[[#This Row],[Preço]], "")</f>
        <v/>
      </c>
    </row>
    <row r="7" spans="2:11">
      <c r="B7" t="str">
        <f>IFERROR(INDEX(insumos[ID], MATCH(Tabela14[[#This Row],[Item]], insumos[item], 0)), "")</f>
        <v/>
      </c>
      <c r="C7" t="s">
        <v>17</v>
      </c>
      <c r="D7" t="s">
        <v>8</v>
      </c>
      <c r="E7" s="23" t="str">
        <f>IF(Tabela14[[#This Row],[ID]] &lt;&gt; "", INDEX(insumos[preço], MATCH(Tabela14[[#This Row],[ID]], insumos[ID], 0)), "")</f>
        <v/>
      </c>
      <c r="F7" s="1">
        <v>90</v>
      </c>
      <c r="G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7" s="1" t="str">
        <f>IFERROR(ROUNDUP(Tabela14[[#This Row],[Pedido Mínimo]], Tabela14[[#This Row],[Arredondar]]), "")</f>
        <v/>
      </c>
      <c r="I7">
        <v>1</v>
      </c>
      <c r="J7" s="13" t="str">
        <f>IFERROR(Tabela14[[#This Row],[Pedido Mínimo]] * Tabela14[[#This Row],[Preço]], "")</f>
        <v/>
      </c>
      <c r="K7" s="13" t="str">
        <f>IFERROR(Tabela14[[#This Row],[Pedido]] * Tabela14[[#This Row],[Preço]], "")</f>
        <v/>
      </c>
    </row>
    <row r="8" spans="2:11">
      <c r="B8" t="str">
        <f>IFERROR(INDEX(insumos[ID], MATCH(Tabela14[[#This Row],[Item]], insumos[item], 0)), "")</f>
        <v/>
      </c>
      <c r="C8" t="s">
        <v>17</v>
      </c>
      <c r="D8" t="s">
        <v>9</v>
      </c>
      <c r="E8" s="23" t="str">
        <f>IF(Tabela14[[#This Row],[ID]] &lt;&gt; "", INDEX(insumos[preço], MATCH(Tabela14[[#This Row],[ID]], insumos[ID], 0)), "")</f>
        <v/>
      </c>
      <c r="F8" s="1">
        <v>90</v>
      </c>
      <c r="G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8" s="1" t="str">
        <f>IFERROR(ROUNDUP(Tabela14[[#This Row],[Pedido Mínimo]], Tabela14[[#This Row],[Arredondar]]), "")</f>
        <v/>
      </c>
      <c r="I8">
        <v>0</v>
      </c>
      <c r="J8" s="13" t="str">
        <f>IFERROR(Tabela14[[#This Row],[Pedido Mínimo]] * Tabela14[[#This Row],[Preço]], "")</f>
        <v/>
      </c>
      <c r="K8" s="13" t="str">
        <f>IFERROR(Tabela14[[#This Row],[Pedido]] * Tabela14[[#This Row],[Preço]], "")</f>
        <v/>
      </c>
    </row>
    <row r="9" spans="2:11">
      <c r="B9" t="str">
        <f>IFERROR(INDEX(insumos[ID], MATCH(Tabela14[[#This Row],[Item]], insumos[item], 0)), "")</f>
        <v/>
      </c>
      <c r="C9" t="s">
        <v>17</v>
      </c>
      <c r="D9" t="s">
        <v>10</v>
      </c>
      <c r="E9" s="23" t="str">
        <f>IF(Tabela14[[#This Row],[ID]] &lt;&gt; "", INDEX(insumos[preço], MATCH(Tabela14[[#This Row],[ID]], insumos[ID], 0)), "")</f>
        <v/>
      </c>
      <c r="F9" s="1">
        <v>90</v>
      </c>
      <c r="G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9" s="1" t="str">
        <f>IFERROR(ROUNDUP(Tabela14[[#This Row],[Pedido Mínimo]], Tabela14[[#This Row],[Arredondar]]), "")</f>
        <v/>
      </c>
      <c r="I9">
        <v>0</v>
      </c>
      <c r="J9" s="13" t="str">
        <f>IFERROR(Tabela14[[#This Row],[Pedido Mínimo]] * Tabela14[[#This Row],[Preço]], "")</f>
        <v/>
      </c>
      <c r="K9" s="13" t="str">
        <f>IFERROR(Tabela14[[#This Row],[Pedido]] * Tabela14[[#This Row],[Preço]], "")</f>
        <v/>
      </c>
    </row>
    <row r="10" spans="2:11">
      <c r="B10" t="str">
        <f>IFERROR(INDEX(insumos[ID], MATCH(Tabela14[[#This Row],[Item]], insumos[item], 0)), "")</f>
        <v/>
      </c>
      <c r="C10" t="s">
        <v>97</v>
      </c>
      <c r="D10" t="s">
        <v>91</v>
      </c>
      <c r="E10" s="23" t="str">
        <f>IF(Tabela14[[#This Row],[ID]] &lt;&gt; "", INDEX(insumos[preço], MATCH(Tabela14[[#This Row],[ID]], insumos[ID], 0)), "")</f>
        <v/>
      </c>
      <c r="F10" s="1">
        <v>12</v>
      </c>
      <c r="G1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0" s="1" t="str">
        <f>IFERROR(ROUNDUP(Tabela14[[#This Row],[Pedido Mínimo]], Tabela14[[#This Row],[Arredondar]]), "")</f>
        <v/>
      </c>
      <c r="J10" s="13" t="str">
        <f>IFERROR(Tabela14[[#This Row],[Pedido Mínimo]] * Tabela14[[#This Row],[Preço]], "")</f>
        <v/>
      </c>
      <c r="K10" s="13" t="str">
        <f>IFERROR(Tabela14[[#This Row],[Pedido]] * Tabela14[[#This Row],[Preço]], "")</f>
        <v/>
      </c>
    </row>
    <row r="11" spans="2:11">
      <c r="B11" t="str">
        <f>IFERROR(INDEX(insumos[ID], MATCH(Tabela14[[#This Row],[Item]], insumos[item], 0)), "")</f>
        <v/>
      </c>
      <c r="C11" t="s">
        <v>97</v>
      </c>
      <c r="D11" t="s">
        <v>94</v>
      </c>
      <c r="E11" s="23" t="str">
        <f>IF(Tabela14[[#This Row],[ID]] &lt;&gt; "", INDEX(insumos[preço], MATCH(Tabela14[[#This Row],[ID]], insumos[ID], 0)), "")</f>
        <v/>
      </c>
      <c r="F11" s="1">
        <v>12</v>
      </c>
      <c r="G1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1" s="1" t="str">
        <f>IFERROR(ROUNDUP(Tabela14[[#This Row],[Pedido Mínimo]], Tabela14[[#This Row],[Arredondar]]), "")</f>
        <v/>
      </c>
      <c r="J11" s="13" t="str">
        <f>IFERROR(Tabela14[[#This Row],[Pedido Mínimo]] * Tabela14[[#This Row],[Preço]], "")</f>
        <v/>
      </c>
      <c r="K11" s="13" t="str">
        <f>IFERROR(Tabela14[[#This Row],[Pedido]] * Tabela14[[#This Row],[Preço]], "")</f>
        <v/>
      </c>
    </row>
    <row r="12" spans="2:11">
      <c r="B12" t="str">
        <f>IFERROR(INDEX(insumos[ID], MATCH(Tabela14[[#This Row],[Item]], insumos[item], 0)), "")</f>
        <v/>
      </c>
      <c r="C12" t="s">
        <v>97</v>
      </c>
      <c r="D12" t="s">
        <v>8</v>
      </c>
      <c r="E12" s="23" t="str">
        <f>IF(Tabela14[[#This Row],[ID]] &lt;&gt; "", INDEX(insumos[preço], MATCH(Tabela14[[#This Row],[ID]], insumos[ID], 0)), "")</f>
        <v/>
      </c>
      <c r="F12" s="1">
        <v>12</v>
      </c>
      <c r="G1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2" s="1" t="str">
        <f>IFERROR(ROUNDUP(Tabela14[[#This Row],[Pedido Mínimo]], Tabela14[[#This Row],[Arredondar]]), "")</f>
        <v/>
      </c>
      <c r="J12" s="13" t="str">
        <f>IFERROR(Tabela14[[#This Row],[Pedido Mínimo]] * Tabela14[[#This Row],[Preço]], "")</f>
        <v/>
      </c>
      <c r="K12" s="13" t="str">
        <f>IFERROR(Tabela14[[#This Row],[Pedido]] * Tabela14[[#This Row],[Preço]], "")</f>
        <v/>
      </c>
    </row>
    <row r="13" spans="2:11">
      <c r="B13">
        <f>IFERROR(INDEX(insumos[ID], MATCH(Tabela14[[#This Row],[Item]], insumos[item], 0)), "")</f>
        <v>22</v>
      </c>
      <c r="C13" t="s">
        <v>97</v>
      </c>
      <c r="D13" t="s">
        <v>80</v>
      </c>
      <c r="E13" s="23">
        <f>IF(Tabela14[[#This Row],[ID]] &lt;&gt; "", INDEX(insumos[preço], MATCH(Tabela14[[#This Row],[ID]], insumos[ID], 0)), "")</f>
        <v>3.59</v>
      </c>
      <c r="F13" s="1">
        <v>12</v>
      </c>
      <c r="G1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3" s="1" t="str">
        <f>IFERROR(ROUNDUP(Tabela14[[#This Row],[Pedido Mínimo]], Tabela14[[#This Row],[Arredondar]]), "")</f>
        <v/>
      </c>
      <c r="J13" s="13" t="str">
        <f>IFERROR(Tabela14[[#This Row],[Pedido Mínimo]] * Tabela14[[#This Row],[Preço]], "")</f>
        <v/>
      </c>
      <c r="K13" s="13" t="str">
        <f>IFERROR(Tabela14[[#This Row],[Pedido]] * Tabela14[[#This Row],[Preço]], "")</f>
        <v/>
      </c>
    </row>
    <row r="14" spans="2:11">
      <c r="B14" t="str">
        <f>IFERROR(INDEX(insumos[ID], MATCH(Tabela14[[#This Row],[Item]], insumos[item], 0)), "")</f>
        <v/>
      </c>
      <c r="C14" t="s">
        <v>98</v>
      </c>
      <c r="D14" t="s">
        <v>94</v>
      </c>
      <c r="E14" s="23" t="str">
        <f>IF(Tabela14[[#This Row],[ID]] &lt;&gt; "", INDEX(insumos[preço], MATCH(Tabela14[[#This Row],[ID]], insumos[ID], 0)), "")</f>
        <v/>
      </c>
      <c r="F14" s="1">
        <v>12</v>
      </c>
      <c r="G1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4" s="1" t="str">
        <f>IFERROR(ROUNDUP(Tabela14[[#This Row],[Pedido Mínimo]], Tabela14[[#This Row],[Arredondar]]), "")</f>
        <v/>
      </c>
      <c r="J14" s="13" t="str">
        <f>IFERROR(Tabela14[[#This Row],[Pedido Mínimo]] * Tabela14[[#This Row],[Preço]], "")</f>
        <v/>
      </c>
      <c r="K14" s="13" t="str">
        <f>IFERROR(Tabela14[[#This Row],[Pedido]] * Tabela14[[#This Row],[Preço]], "")</f>
        <v/>
      </c>
    </row>
    <row r="15" spans="2:11">
      <c r="B15">
        <f>IFERROR(INDEX(insumos[ID], MATCH(Tabela14[[#This Row],[Item]], insumos[item], 0)), "")</f>
        <v>22</v>
      </c>
      <c r="C15" t="s">
        <v>98</v>
      </c>
      <c r="D15" t="s">
        <v>80</v>
      </c>
      <c r="E15" s="23">
        <f>IF(Tabela14[[#This Row],[ID]] &lt;&gt; "", INDEX(insumos[preço], MATCH(Tabela14[[#This Row],[ID]], insumos[ID], 0)), "")</f>
        <v>3.59</v>
      </c>
      <c r="F15" s="1">
        <v>12</v>
      </c>
      <c r="G1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5" s="1" t="str">
        <f>IFERROR(ROUNDUP(Tabela14[[#This Row],[Pedido Mínimo]], Tabela14[[#This Row],[Arredondar]]), "")</f>
        <v/>
      </c>
      <c r="J15" s="13" t="str">
        <f>IFERROR(Tabela14[[#This Row],[Pedido Mínimo]] * Tabela14[[#This Row],[Preço]], "")</f>
        <v/>
      </c>
      <c r="K15" s="13" t="str">
        <f>IFERROR(Tabela14[[#This Row],[Pedido]] * Tabela14[[#This Row],[Preço]], "")</f>
        <v/>
      </c>
    </row>
    <row r="16" spans="2:11">
      <c r="B16" t="str">
        <f>IFERROR(INDEX(insumos[ID], MATCH(Tabela14[[#This Row],[Item]], insumos[item], 0)), "")</f>
        <v/>
      </c>
      <c r="C16" t="s">
        <v>98</v>
      </c>
      <c r="D16" t="s">
        <v>87</v>
      </c>
      <c r="E16" s="23" t="str">
        <f>IF(Tabela14[[#This Row],[ID]] &lt;&gt; "", INDEX(insumos[preço], MATCH(Tabela14[[#This Row],[ID]], insumos[ID], 0)), "")</f>
        <v/>
      </c>
      <c r="F16" s="1">
        <v>12</v>
      </c>
      <c r="G1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6" s="1" t="str">
        <f>IFERROR(ROUNDUP(Tabela14[[#This Row],[Pedido Mínimo]], Tabela14[[#This Row],[Arredondar]]), "")</f>
        <v/>
      </c>
      <c r="J16" s="13" t="str">
        <f>IFERROR(Tabela14[[#This Row],[Pedido Mínimo]] * Tabela14[[#This Row],[Preço]], "")</f>
        <v/>
      </c>
      <c r="K16" s="13" t="str">
        <f>IFERROR(Tabela14[[#This Row],[Pedido]] * Tabela14[[#This Row],[Preço]], "")</f>
        <v/>
      </c>
    </row>
    <row r="17" spans="2:11">
      <c r="B17" t="str">
        <f>IFERROR(INDEX(insumos[ID], MATCH(Tabela14[[#This Row],[Item]], insumos[item], 0)), "")</f>
        <v/>
      </c>
      <c r="C17" t="s">
        <v>98</v>
      </c>
      <c r="D17" t="s">
        <v>90</v>
      </c>
      <c r="E17" s="23" t="str">
        <f>IF(Tabela14[[#This Row],[ID]] &lt;&gt; "", INDEX(insumos[preço], MATCH(Tabela14[[#This Row],[ID]], insumos[ID], 0)), "")</f>
        <v/>
      </c>
      <c r="F17" s="1">
        <v>12</v>
      </c>
      <c r="G1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7" s="1" t="str">
        <f>IFERROR(ROUNDUP(Tabela14[[#This Row],[Pedido Mínimo]], Tabela14[[#This Row],[Arredondar]]), "")</f>
        <v/>
      </c>
      <c r="J17" s="13" t="str">
        <f>IFERROR(Tabela14[[#This Row],[Pedido Mínimo]] * Tabela14[[#This Row],[Preço]], "")</f>
        <v/>
      </c>
      <c r="K17" s="13" t="str">
        <f>IFERROR(Tabela14[[#This Row],[Pedido]] * Tabela14[[#This Row],[Preço]], "")</f>
        <v/>
      </c>
    </row>
    <row r="18" spans="2:11">
      <c r="B18" t="str">
        <f>IFERROR(INDEX(insumos[ID], MATCH(Tabela14[[#This Row],[Item]], insumos[item], 0)), "")</f>
        <v/>
      </c>
      <c r="C18" t="s">
        <v>98</v>
      </c>
      <c r="D18" t="s">
        <v>8</v>
      </c>
      <c r="E18" s="23" t="str">
        <f>IF(Tabela14[[#This Row],[ID]] &lt;&gt; "", INDEX(insumos[preço], MATCH(Tabela14[[#This Row],[ID]], insumos[ID], 0)), "")</f>
        <v/>
      </c>
      <c r="F18" s="1">
        <v>12</v>
      </c>
      <c r="G1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8" s="1" t="str">
        <f>IFERROR(ROUNDUP(Tabela14[[#This Row],[Pedido Mínimo]], Tabela14[[#This Row],[Arredondar]]), "")</f>
        <v/>
      </c>
      <c r="J18" s="13" t="str">
        <f>IFERROR(Tabela14[[#This Row],[Pedido Mínimo]] * Tabela14[[#This Row],[Preço]], "")</f>
        <v/>
      </c>
      <c r="K18" s="13" t="str">
        <f>IFERROR(Tabela14[[#This Row],[Pedido]] * Tabela14[[#This Row],[Preço]], "")</f>
        <v/>
      </c>
    </row>
    <row r="19" spans="2:11">
      <c r="B19" t="str">
        <f>IFERROR(INDEX(insumos[ID], MATCH(Tabela14[[#This Row],[Item]], insumos[item], 0)), "")</f>
        <v/>
      </c>
      <c r="C19" t="s">
        <v>112</v>
      </c>
      <c r="D19" t="s">
        <v>94</v>
      </c>
      <c r="E19" s="23" t="str">
        <f>IF(Tabela14[[#This Row],[ID]] &lt;&gt; "", INDEX(insumos[preço], MATCH(Tabela14[[#This Row],[ID]], insumos[ID], 0)), "")</f>
        <v/>
      </c>
      <c r="F19" s="1">
        <v>12</v>
      </c>
      <c r="G1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9" s="1" t="str">
        <f>IFERROR(ROUNDUP(Tabela14[[#This Row],[Pedido Mínimo]], Tabela14[[#This Row],[Arredondar]]), "")</f>
        <v/>
      </c>
      <c r="J19" s="13" t="str">
        <f>IFERROR(Tabela14[[#This Row],[Pedido Mínimo]] * Tabela14[[#This Row],[Preço]], "")</f>
        <v/>
      </c>
      <c r="K19" s="13" t="str">
        <f>IFERROR(Tabela14[[#This Row],[Pedido]] * Tabela14[[#This Row],[Preço]], "")</f>
        <v/>
      </c>
    </row>
    <row r="20" spans="2:11">
      <c r="B20" t="str">
        <f>IFERROR(INDEX(insumos[ID], MATCH(Tabela14[[#This Row],[Item]], insumos[item], 0)), "")</f>
        <v/>
      </c>
      <c r="C20" t="s">
        <v>112</v>
      </c>
      <c r="D20" t="s">
        <v>111</v>
      </c>
      <c r="E20" s="23" t="str">
        <f>IF(Tabela14[[#This Row],[ID]] &lt;&gt; "", INDEX(insumos[preço], MATCH(Tabela14[[#This Row],[ID]], insumos[ID], 0)), "")</f>
        <v/>
      </c>
      <c r="F20" s="1">
        <v>12</v>
      </c>
      <c r="G2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0" s="1" t="str">
        <f>IFERROR(ROUNDUP(Tabela14[[#This Row],[Pedido Mínimo]], Tabela14[[#This Row],[Arredondar]]), "")</f>
        <v/>
      </c>
      <c r="J20" s="13" t="str">
        <f>IFERROR(Tabela14[[#This Row],[Pedido Mínimo]] * Tabela14[[#This Row],[Preço]], "")</f>
        <v/>
      </c>
      <c r="K20" s="13" t="str">
        <f>IFERROR(Tabela14[[#This Row],[Pedido]] * Tabela14[[#This Row],[Preço]], "")</f>
        <v/>
      </c>
    </row>
    <row r="21" spans="2:11">
      <c r="B21" t="str">
        <f>IFERROR(INDEX(insumos[ID], MATCH(Tabela14[[#This Row],[Item]], insumos[item], 0)), "")</f>
        <v/>
      </c>
      <c r="C21" t="s">
        <v>112</v>
      </c>
      <c r="D21" t="s">
        <v>8</v>
      </c>
      <c r="E21" s="23" t="str">
        <f>IF(Tabela14[[#This Row],[ID]] &lt;&gt; "", INDEX(insumos[preço], MATCH(Tabela14[[#This Row],[ID]], insumos[ID], 0)), "")</f>
        <v/>
      </c>
      <c r="F21" s="1">
        <v>12</v>
      </c>
      <c r="G2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1" s="1" t="str">
        <f>IFERROR(ROUNDUP(Tabela14[[#This Row],[Pedido Mínimo]], Tabela14[[#This Row],[Arredondar]]), "")</f>
        <v/>
      </c>
      <c r="J21" s="13" t="str">
        <f>IFERROR(Tabela14[[#This Row],[Pedido Mínimo]] * Tabela14[[#This Row],[Preço]], "")</f>
        <v/>
      </c>
      <c r="K21" s="13" t="str">
        <f>IFERROR(Tabela14[[#This Row],[Pedido]] * Tabela14[[#This Row],[Preço]], "")</f>
        <v/>
      </c>
    </row>
    <row r="22" spans="2:11">
      <c r="B22" t="str">
        <f>IFERROR(INDEX(insumos[ID], MATCH(Tabela14[[#This Row],[Item]], insumos[item], 0)), "")</f>
        <v/>
      </c>
      <c r="C22" t="s">
        <v>112</v>
      </c>
      <c r="D22" t="s">
        <v>96</v>
      </c>
      <c r="E22" s="23" t="str">
        <f>IF(Tabela14[[#This Row],[ID]] &lt;&gt; "", INDEX(insumos[preço], MATCH(Tabela14[[#This Row],[ID]], insumos[ID], 0)), "")</f>
        <v/>
      </c>
      <c r="F22" s="1">
        <v>12</v>
      </c>
      <c r="G2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2" s="1" t="str">
        <f>IFERROR(ROUNDUP(Tabela14[[#This Row],[Pedido Mínimo]], Tabela14[[#This Row],[Arredondar]]), "")</f>
        <v/>
      </c>
      <c r="J22" s="13" t="str">
        <f>IFERROR(Tabela14[[#This Row],[Pedido Mínimo]] * Tabela14[[#This Row],[Preço]], "")</f>
        <v/>
      </c>
      <c r="K22" s="13" t="str">
        <f>IFERROR(Tabela14[[#This Row],[Pedido]] * Tabela14[[#This Row],[Preço]], "")</f>
        <v/>
      </c>
    </row>
    <row r="23" spans="2:11">
      <c r="B23">
        <f>IFERROR(INDEX(insumos[ID], MATCH(Tabela14[[#This Row],[Item]], insumos[item], 0)), "")</f>
        <v>22</v>
      </c>
      <c r="C23" t="s">
        <v>113</v>
      </c>
      <c r="D23" t="s">
        <v>80</v>
      </c>
      <c r="E23" s="23">
        <f>IF(Tabela14[[#This Row],[ID]] &lt;&gt; "", INDEX(insumos[preço], MATCH(Tabela14[[#This Row],[ID]], insumos[ID], 0)), "")</f>
        <v>3.59</v>
      </c>
      <c r="F23" s="1">
        <v>40</v>
      </c>
      <c r="G2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3" s="1" t="str">
        <f>IFERROR(ROUNDUP(Tabela14[[#This Row],[Pedido Mínimo]], Tabela14[[#This Row],[Arredondar]]), "")</f>
        <v/>
      </c>
      <c r="J23" s="13" t="str">
        <f>IFERROR(Tabela14[[#This Row],[Pedido Mínimo]] * Tabela14[[#This Row],[Preço]], "")</f>
        <v/>
      </c>
      <c r="K23" s="13" t="str">
        <f>IFERROR(Tabela14[[#This Row],[Pedido]] * Tabela14[[#This Row],[Preço]], "")</f>
        <v/>
      </c>
    </row>
    <row r="24" spans="2:11">
      <c r="B24" t="str">
        <f>IFERROR(INDEX(insumos[ID], MATCH(Tabela14[[#This Row],[Item]], insumos[item], 0)), "")</f>
        <v/>
      </c>
      <c r="C24" t="s">
        <v>113</v>
      </c>
      <c r="D24" t="s">
        <v>83</v>
      </c>
      <c r="E24" s="23" t="str">
        <f>IF(Tabela14[[#This Row],[ID]] &lt;&gt; "", INDEX(insumos[preço], MATCH(Tabela14[[#This Row],[ID]], insumos[ID], 0)), "")</f>
        <v/>
      </c>
      <c r="F24" s="1">
        <v>40</v>
      </c>
      <c r="G2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4" s="1" t="str">
        <f>IFERROR(ROUNDUP(Tabela14[[#This Row],[Pedido Mínimo]], Tabela14[[#This Row],[Arredondar]]), "")</f>
        <v/>
      </c>
      <c r="J24" s="13" t="str">
        <f>IFERROR(Tabela14[[#This Row],[Pedido Mínimo]] * Tabela14[[#This Row],[Preço]], "")</f>
        <v/>
      </c>
      <c r="K24" s="13" t="str">
        <f>IFERROR(Tabela14[[#This Row],[Pedido]] * Tabela14[[#This Row],[Preço]], "")</f>
        <v/>
      </c>
    </row>
    <row r="25" spans="2:11">
      <c r="B25">
        <f>IFERROR(INDEX(insumos[ID], MATCH(Tabela14[[#This Row],[Item]], insumos[item], 0)), "")</f>
        <v>11</v>
      </c>
      <c r="C25" t="s">
        <v>113</v>
      </c>
      <c r="D25" t="s">
        <v>7</v>
      </c>
      <c r="E25" s="23">
        <f>IF(Tabela14[[#This Row],[ID]] &lt;&gt; "", INDEX(insumos[preço], MATCH(Tabela14[[#This Row],[ID]], insumos[ID], 0)), "")</f>
        <v>5</v>
      </c>
      <c r="F25" s="1">
        <v>40</v>
      </c>
      <c r="G2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5" s="1" t="str">
        <f>IFERROR(ROUNDUP(Tabela14[[#This Row],[Pedido Mínimo]], Tabela14[[#This Row],[Arredondar]]), "")</f>
        <v/>
      </c>
      <c r="J25" s="13" t="str">
        <f>IFERROR(Tabela14[[#This Row],[Pedido Mínimo]] * Tabela14[[#This Row],[Preço]], "")</f>
        <v/>
      </c>
      <c r="K25" s="13" t="str">
        <f>IFERROR(Tabela14[[#This Row],[Pedido]] * Tabela14[[#This Row],[Preço]], "")</f>
        <v/>
      </c>
    </row>
    <row r="26" spans="2:11">
      <c r="B26" t="str">
        <f>IFERROR(INDEX(insumos[ID], MATCH(Tabela14[[#This Row],[Item]], insumos[item], 0)), "")</f>
        <v/>
      </c>
      <c r="C26" t="s">
        <v>113</v>
      </c>
      <c r="D26" t="s">
        <v>82</v>
      </c>
      <c r="E26" s="23" t="str">
        <f>IF(Tabela14[[#This Row],[ID]] &lt;&gt; "", INDEX(insumos[preço], MATCH(Tabela14[[#This Row],[ID]], insumos[ID], 0)), "")</f>
        <v/>
      </c>
      <c r="F26" s="1">
        <v>40</v>
      </c>
      <c r="G2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6" s="1" t="str">
        <f>IFERROR(ROUNDUP(Tabela14[[#This Row],[Pedido Mínimo]], Tabela14[[#This Row],[Arredondar]]), "")</f>
        <v/>
      </c>
      <c r="J26" s="13" t="str">
        <f>IFERROR(Tabela14[[#This Row],[Pedido Mínimo]] * Tabela14[[#This Row],[Preço]], "")</f>
        <v/>
      </c>
      <c r="K26" s="13" t="str">
        <f>IFERROR(Tabela14[[#This Row],[Pedido]] * Tabela14[[#This Row],[Preço]], "")</f>
        <v/>
      </c>
    </row>
    <row r="27" spans="2:11">
      <c r="B27" t="str">
        <f>IFERROR(INDEX(insumos[ID], MATCH(Tabela14[[#This Row],[Item]], insumos[item], 0)), "")</f>
        <v/>
      </c>
      <c r="C27" t="s">
        <v>113</v>
      </c>
      <c r="D27" t="s">
        <v>81</v>
      </c>
      <c r="E27" s="23" t="str">
        <f>IF(Tabela14[[#This Row],[ID]] &lt;&gt; "", INDEX(insumos[preço], MATCH(Tabela14[[#This Row],[ID]], insumos[ID], 0)), "")</f>
        <v/>
      </c>
      <c r="F27" s="1">
        <v>40</v>
      </c>
      <c r="G2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7" s="1" t="str">
        <f>IFERROR(ROUNDUP(Tabela14[[#This Row],[Pedido Mínimo]], Tabela14[[#This Row],[Arredondar]]), "")</f>
        <v/>
      </c>
      <c r="J27" s="13" t="str">
        <f>IFERROR(Tabela14[[#This Row],[Pedido Mínimo]] * Tabela14[[#This Row],[Preço]], "")</f>
        <v/>
      </c>
      <c r="K27" s="13" t="str">
        <f>IFERROR(Tabela14[[#This Row],[Pedido]] * Tabela14[[#This Row],[Preço]], "")</f>
        <v/>
      </c>
    </row>
    <row r="28" spans="2:11">
      <c r="B28" t="str">
        <f>IFERROR(INDEX(insumos[ID], MATCH(Tabela14[[#This Row],[Item]], insumos[item], 0)), "")</f>
        <v/>
      </c>
      <c r="C28" t="s">
        <v>99</v>
      </c>
      <c r="D28" t="s">
        <v>92</v>
      </c>
      <c r="E28" s="23" t="str">
        <f>IF(Tabela14[[#This Row],[ID]] &lt;&gt; "", INDEX(insumos[preço], MATCH(Tabela14[[#This Row],[ID]], insumos[ID], 0)), "")</f>
        <v/>
      </c>
      <c r="F28" s="1">
        <v>5</v>
      </c>
      <c r="G2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8" s="1" t="str">
        <f>IFERROR(ROUNDUP(Tabela14[[#This Row],[Pedido Mínimo]], Tabela14[[#This Row],[Arredondar]]), "")</f>
        <v/>
      </c>
      <c r="J28" s="13" t="str">
        <f>IFERROR(Tabela14[[#This Row],[Pedido Mínimo]] * Tabela14[[#This Row],[Preço]], "")</f>
        <v/>
      </c>
      <c r="K28" s="13" t="str">
        <f>IFERROR(Tabela14[[#This Row],[Pedido]] * Tabela14[[#This Row],[Preço]], "")</f>
        <v/>
      </c>
    </row>
    <row r="29" spans="2:11">
      <c r="B29" t="str">
        <f>IFERROR(INDEX(insumos[ID], MATCH(Tabela14[[#This Row],[Item]], insumos[item], 0)), "")</f>
        <v/>
      </c>
      <c r="C29" t="s">
        <v>100</v>
      </c>
      <c r="D29" t="s">
        <v>95</v>
      </c>
      <c r="E29" s="23" t="str">
        <f>IF(Tabela14[[#This Row],[ID]] &lt;&gt; "", INDEX(insumos[preço], MATCH(Tabela14[[#This Row],[ID]], insumos[ID], 0)), "")</f>
        <v/>
      </c>
      <c r="F29" s="1">
        <v>12</v>
      </c>
      <c r="G2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9" s="1" t="str">
        <f>IFERROR(ROUNDUP(Tabela14[[#This Row],[Pedido Mínimo]], Tabela14[[#This Row],[Arredondar]]), "")</f>
        <v/>
      </c>
      <c r="J29" s="13" t="str">
        <f>IFERROR(Tabela14[[#This Row],[Pedido Mínimo]] * Tabela14[[#This Row],[Preço]], "")</f>
        <v/>
      </c>
      <c r="K29" s="13" t="str">
        <f>IFERROR(Tabela14[[#This Row],[Pedido]] * Tabela14[[#This Row],[Preço]], "")</f>
        <v/>
      </c>
    </row>
    <row r="30" spans="2:11">
      <c r="B30" t="str">
        <f>IFERROR(INDEX(insumos[ID], MATCH(Tabela14[[#This Row],[Item]], insumos[item], 0)), "")</f>
        <v/>
      </c>
      <c r="C30" t="s">
        <v>101</v>
      </c>
      <c r="D30" t="s">
        <v>93</v>
      </c>
      <c r="E30" s="23" t="str">
        <f>IF(Tabela14[[#This Row],[ID]] &lt;&gt; "", INDEX(insumos[preço], MATCH(Tabela14[[#This Row],[ID]], insumos[ID], 0)), "")</f>
        <v/>
      </c>
      <c r="F30" s="1">
        <v>10</v>
      </c>
      <c r="G3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0" s="1" t="str">
        <f>IFERROR(ROUNDUP(Tabela14[[#This Row],[Pedido Mínimo]], Tabela14[[#This Row],[Arredondar]]), "")</f>
        <v/>
      </c>
      <c r="J30" s="13" t="str">
        <f>IFERROR(Tabela14[[#This Row],[Pedido Mínimo]] * Tabela14[[#This Row],[Preço]], "")</f>
        <v/>
      </c>
      <c r="K30" s="13" t="str">
        <f>IFERROR(Tabela14[[#This Row],[Pedido]] * Tabela14[[#This Row],[Preço]], "")</f>
        <v/>
      </c>
    </row>
    <row r="31" spans="2:11">
      <c r="B31" t="str">
        <f>IFERROR(INDEX(insumos[ID], MATCH(Tabela14[[#This Row],[Item]], insumos[item], 0)), "")</f>
        <v/>
      </c>
      <c r="C31" t="s">
        <v>102</v>
      </c>
      <c r="D31" t="s">
        <v>90</v>
      </c>
      <c r="E31" s="23" t="str">
        <f>IF(Tabela14[[#This Row],[ID]] &lt;&gt; "", INDEX(insumos[preço], MATCH(Tabela14[[#This Row],[ID]], insumos[ID], 0)), "")</f>
        <v/>
      </c>
      <c r="F31" s="1">
        <v>40</v>
      </c>
      <c r="G3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1" s="1" t="str">
        <f>IFERROR(ROUNDUP(Tabela14[[#This Row],[Pedido Mínimo]], Tabela14[[#This Row],[Arredondar]]), "")</f>
        <v/>
      </c>
      <c r="J31" s="13" t="str">
        <f>IFERROR(Tabela14[[#This Row],[Pedido Mínimo]] * Tabela14[[#This Row],[Preço]], "")</f>
        <v/>
      </c>
      <c r="K31" s="13" t="str">
        <f>IFERROR(Tabela14[[#This Row],[Pedido]] * Tabela14[[#This Row],[Preço]], "")</f>
        <v/>
      </c>
    </row>
    <row r="32" spans="2:11">
      <c r="B32" t="str">
        <f>IFERROR(INDEX(insumos[ID], MATCH(Tabela14[[#This Row],[Item]], insumos[item], 0)), "")</f>
        <v/>
      </c>
      <c r="C32" t="s">
        <v>103</v>
      </c>
      <c r="D32" t="s">
        <v>88</v>
      </c>
      <c r="E32" s="23" t="str">
        <f>IF(Tabela14[[#This Row],[ID]] &lt;&gt; "", INDEX(insumos[preço], MATCH(Tabela14[[#This Row],[ID]], insumos[ID], 0)), "")</f>
        <v/>
      </c>
      <c r="F32" s="1">
        <v>30</v>
      </c>
      <c r="G3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2" s="1" t="str">
        <f>IFERROR(ROUNDUP(Tabela14[[#This Row],[Pedido Mínimo]], Tabela14[[#This Row],[Arredondar]]), "")</f>
        <v/>
      </c>
      <c r="J32" s="13" t="str">
        <f>IFERROR(Tabela14[[#This Row],[Pedido Mínimo]] * Tabela14[[#This Row],[Preço]], "")</f>
        <v/>
      </c>
      <c r="K32" s="13" t="str">
        <f>IFERROR(Tabela14[[#This Row],[Pedido]] * Tabela14[[#This Row],[Preço]], "")</f>
        <v/>
      </c>
    </row>
    <row r="33" spans="2:11">
      <c r="B33" t="str">
        <f>IFERROR(INDEX(insumos[ID], MATCH(Tabela14[[#This Row],[Item]], insumos[item], 0)), "")</f>
        <v/>
      </c>
      <c r="C33" t="s">
        <v>104</v>
      </c>
      <c r="D33" t="s">
        <v>89</v>
      </c>
      <c r="E33" s="23" t="str">
        <f>IF(Tabela14[[#This Row],[ID]] &lt;&gt; "", INDEX(insumos[preço], MATCH(Tabela14[[#This Row],[ID]], insumos[ID], 0)), "")</f>
        <v/>
      </c>
      <c r="F33" s="1">
        <v>25</v>
      </c>
      <c r="G3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3" s="1" t="str">
        <f>IFERROR(ROUNDUP(Tabela14[[#This Row],[Pedido Mínimo]], Tabela14[[#This Row],[Arredondar]]), "")</f>
        <v/>
      </c>
      <c r="J33" s="13" t="str">
        <f>IFERROR(Tabela14[[#This Row],[Pedido Mínimo]] * Tabela14[[#This Row],[Preço]], "")</f>
        <v/>
      </c>
      <c r="K33" s="13" t="str">
        <f>IFERROR(Tabela14[[#This Row],[Pedido]] * Tabela14[[#This Row],[Preço]], "")</f>
        <v/>
      </c>
    </row>
    <row r="34" spans="2:11">
      <c r="B34" t="str">
        <f>IFERROR(INDEX(insumos[ID], MATCH(Tabela14[[#This Row],[Item]], insumos[item], 0)), "")</f>
        <v/>
      </c>
      <c r="C34" t="s">
        <v>105</v>
      </c>
      <c r="D34" t="s">
        <v>91</v>
      </c>
      <c r="E34" s="23" t="str">
        <f>IF(Tabela14[[#This Row],[ID]] &lt;&gt; "", INDEX(insumos[preço], MATCH(Tabela14[[#This Row],[ID]], insumos[ID], 0)), "")</f>
        <v/>
      </c>
      <c r="F34" s="1">
        <v>13</v>
      </c>
      <c r="G3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4" s="1" t="str">
        <f>IFERROR(ROUNDUP(Tabela14[[#This Row],[Pedido Mínimo]], Tabela14[[#This Row],[Arredondar]]), "")</f>
        <v/>
      </c>
      <c r="J34" s="13" t="str">
        <f>IFERROR(Tabela14[[#This Row],[Pedido Mínimo]] * Tabela14[[#This Row],[Preço]], "")</f>
        <v/>
      </c>
      <c r="K34" s="13" t="str">
        <f>IFERROR(Tabela14[[#This Row],[Pedido]] * Tabela14[[#This Row],[Preço]], "")</f>
        <v/>
      </c>
    </row>
    <row r="35" spans="2:11">
      <c r="B35" t="str">
        <f>IFERROR(INDEX(insumos[ID], MATCH(Tabela14[[#This Row],[Item]], insumos[item], 0)), "")</f>
        <v/>
      </c>
      <c r="C35" t="s">
        <v>106</v>
      </c>
      <c r="D35" t="s">
        <v>87</v>
      </c>
      <c r="E35" s="23" t="str">
        <f>IF(Tabela14[[#This Row],[ID]] &lt;&gt; "", INDEX(insumos[preço], MATCH(Tabela14[[#This Row],[ID]], insumos[ID], 0)), "")</f>
        <v/>
      </c>
      <c r="F35" s="1">
        <v>35</v>
      </c>
      <c r="G3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5" s="1" t="str">
        <f>IFERROR(ROUNDUP(Tabela14[[#This Row],[Pedido Mínimo]], Tabela14[[#This Row],[Arredondar]]), "")</f>
        <v/>
      </c>
      <c r="J35" s="13" t="str">
        <f>IFERROR(Tabela14[[#This Row],[Pedido Mínimo]] * Tabela14[[#This Row],[Preço]], "")</f>
        <v/>
      </c>
      <c r="K35" s="13" t="str">
        <f>IFERROR(Tabela14[[#This Row],[Pedido]] * Tabela14[[#This Row],[Preço]], "")</f>
        <v/>
      </c>
    </row>
    <row r="36" spans="2:11">
      <c r="B36" t="str">
        <f>IFERROR(INDEX(insumos[ID], MATCH(Tabela14[[#This Row],[Item]], insumos[item], 0)), "")</f>
        <v/>
      </c>
      <c r="C36" t="s">
        <v>86</v>
      </c>
      <c r="D36" t="s">
        <v>94</v>
      </c>
      <c r="E36" s="23" t="str">
        <f>IF(Tabela14[[#This Row],[ID]] &lt;&gt; "", INDEX(insumos[preço], MATCH(Tabela14[[#This Row],[ID]], insumos[ID], 0)), "")</f>
        <v/>
      </c>
      <c r="F36" s="1">
        <v>19</v>
      </c>
      <c r="G3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6" s="1" t="str">
        <f>IFERROR(ROUNDUP(Tabela14[[#This Row],[Pedido Mínimo]], Tabela14[[#This Row],[Arredondar]]), "")</f>
        <v/>
      </c>
      <c r="J36" s="13" t="str">
        <f>IFERROR(Tabela14[[#This Row],[Pedido Mínimo]] * Tabela14[[#This Row],[Preço]], "")</f>
        <v/>
      </c>
      <c r="K36" s="13" t="str">
        <f>IFERROR(Tabela14[[#This Row],[Pedido]] * Tabela14[[#This Row],[Preço]], "")</f>
        <v/>
      </c>
    </row>
    <row r="37" spans="2:11">
      <c r="B37" t="s">
        <v>11</v>
      </c>
      <c r="E37" s="23">
        <f>SUBTOTAL(109,Tabela14[Preço])</f>
        <v>20.77</v>
      </c>
      <c r="F37" s="1"/>
      <c r="G37" s="25"/>
      <c r="J37" s="13">
        <f>SUMIF(Tabela14[Total], "&gt;" &amp; 0)</f>
        <v>0</v>
      </c>
      <c r="K37" s="13">
        <f>SUMIF(Tabela14[Total Arredondado], "&gt;" &amp; 0)</f>
        <v>0</v>
      </c>
    </row>
    <row r="38" spans="2:11">
      <c r="B38" t="str">
        <f>IFERROR(INDEX(insumos[ID], MATCH(Tabela14[[#This Row],[Item]], insumos[item], 0)), "")</f>
        <v/>
      </c>
      <c r="E38" s="23"/>
      <c r="F38" s="1"/>
      <c r="G38" s="24"/>
      <c r="H38" s="1" t="str">
        <f>IFERROR(ROUNDUP(Tabela14[[#This Row],[Pedido Mínimo]], Tabela14[[#This Row],[Arredondar]]), "")</f>
        <v/>
      </c>
      <c r="J38" s="13" t="str">
        <f>IFERROR(Tabela14[[#This Row],[Pedido Mínimo]] * Tabela14[[#This Row],[Preço]], "")</f>
        <v/>
      </c>
      <c r="K38" s="13" t="str">
        <f>IFERROR(Tabela14[[#This Row],[Pedido]] * Tabela14[[#This Row],[Preço]], "")</f>
        <v/>
      </c>
    </row>
    <row r="39" spans="2:11">
      <c r="B39" t="str">
        <f>IFERROR(INDEX(insumos[ID], MATCH(Tabela14[[#This Row],[Item]], insumos[item], 0)), "")</f>
        <v/>
      </c>
      <c r="E39" s="23"/>
      <c r="F39" s="1"/>
      <c r="G39" s="24"/>
      <c r="H39" s="1" t="str">
        <f>IFERROR(ROUNDUP(Tabela14[[#This Row],[Pedido Mínimo]], Tabela14[[#This Row],[Arredondar]]), "")</f>
        <v/>
      </c>
      <c r="J39" s="13" t="str">
        <f>IFERROR(Tabela14[[#This Row],[Pedido Mínimo]] * Tabela14[[#This Row],[Preço]], "")</f>
        <v/>
      </c>
      <c r="K39" s="13" t="str">
        <f>IFERROR(Tabela14[[#This Row],[Pedido]] * Tabela14[[#This Row],[Preço]], "")</f>
        <v/>
      </c>
    </row>
    <row r="40" spans="2:11">
      <c r="B40" t="str">
        <f>IFERROR(INDEX(insumos[ID], MATCH(Tabela14[[#This Row],[Item]], insumos[item], 0)), "")</f>
        <v/>
      </c>
      <c r="E40" s="23"/>
      <c r="F40" s="1"/>
      <c r="G40" s="24"/>
      <c r="H40" s="1" t="str">
        <f>IFERROR(ROUNDUP(Tabela14[[#This Row],[Pedido Mínimo]], Tabela14[[#This Row],[Arredondar]]), "")</f>
        <v/>
      </c>
      <c r="J40" s="13" t="str">
        <f>IFERROR(Tabela14[[#This Row],[Pedido Mínimo]] * Tabela14[[#This Row],[Preço]], "")</f>
        <v/>
      </c>
      <c r="K40" s="13" t="str">
        <f>IFERROR(Tabela14[[#This Row],[Pedido]] * Tabela14[[#This Row],[Preço]], "")</f>
        <v/>
      </c>
    </row>
    <row r="41" spans="2:11">
      <c r="B41" t="str">
        <f>IFERROR(INDEX(insumos[ID], MATCH(Tabela14[[#This Row],[Item]], insumos[item], 0)), "")</f>
        <v/>
      </c>
      <c r="E41" s="23"/>
      <c r="F41" s="1"/>
      <c r="G41" s="24"/>
      <c r="H41" s="1" t="str">
        <f>IFERROR(ROUNDUP(Tabela14[[#This Row],[Pedido Mínimo]], Tabela14[[#This Row],[Arredondar]]), "")</f>
        <v/>
      </c>
      <c r="J41" s="13" t="str">
        <f>IFERROR(Tabela14[[#This Row],[Pedido Mínimo]] * Tabela14[[#This Row],[Preço]], "")</f>
        <v/>
      </c>
      <c r="K41" s="13" t="str">
        <f>IFERROR(Tabela14[[#This Row],[Pedido]] * Tabela14[[#This Row],[Preço]], "")</f>
        <v/>
      </c>
    </row>
    <row r="42" spans="2:11">
      <c r="B42" t="str">
        <f>IFERROR(INDEX(insumos[ID], MATCH(Tabela14[[#This Row],[Item]], insumos[item], 0)), "")</f>
        <v/>
      </c>
      <c r="E42" s="23"/>
      <c r="F42" s="1"/>
      <c r="G42" s="24"/>
      <c r="H42" s="1" t="str">
        <f>IFERROR(ROUNDUP(Tabela14[[#This Row],[Pedido Mínimo]], Tabela14[[#This Row],[Arredondar]]), "")</f>
        <v/>
      </c>
      <c r="J42" s="13" t="str">
        <f>IFERROR(Tabela14[[#This Row],[Pedido Mínimo]] * Tabela14[[#This Row],[Preço]], "")</f>
        <v/>
      </c>
      <c r="K42" s="13" t="str">
        <f>IFERROR(Tabela14[[#This Row],[Pedido]] * Tabela14[[#This Row],[Preço]], "")</f>
        <v/>
      </c>
    </row>
    <row r="43" spans="2:11">
      <c r="B43" t="str">
        <f>IFERROR(INDEX(insumos[ID], MATCH(Tabela14[[#This Row],[Item]], insumos[item], 0)), "")</f>
        <v/>
      </c>
      <c r="E43" s="23"/>
      <c r="F43" s="1"/>
      <c r="G43" s="24"/>
      <c r="H43" s="1" t="str">
        <f>IFERROR(ROUNDUP(Tabela14[[#This Row],[Pedido Mínimo]], Tabela14[[#This Row],[Arredondar]]), "")</f>
        <v/>
      </c>
      <c r="J43" s="13" t="str">
        <f>IFERROR(Tabela14[[#This Row],[Pedido Mínimo]] * Tabela14[[#This Row],[Preço]], "")</f>
        <v/>
      </c>
      <c r="K43" s="13" t="str">
        <f>IFERROR(Tabela14[[#This Row],[Pedido]] * Tabela14[[#This Row],[Preço]], "")</f>
        <v/>
      </c>
    </row>
    <row r="44" spans="2:11">
      <c r="B44" t="str">
        <f>IFERROR(INDEX(insumos[ID], MATCH(Tabela14[[#This Row],[Item]], insumos[item], 0)), "")</f>
        <v/>
      </c>
      <c r="E44" s="23"/>
      <c r="F44" s="1"/>
      <c r="G44" s="24"/>
      <c r="H44" s="1" t="str">
        <f>IFERROR(ROUNDUP(Tabela14[[#This Row],[Pedido Mínimo]], Tabela14[[#This Row],[Arredondar]]), "")</f>
        <v/>
      </c>
      <c r="J44" s="13" t="str">
        <f>IFERROR(Tabela14[[#This Row],[Pedido Mínimo]] * Tabela14[[#This Row],[Preço]], "")</f>
        <v/>
      </c>
      <c r="K44" s="13" t="str">
        <f>IFERROR(Tabela14[[#This Row],[Pedido]] * Tabela14[[#This Row],[Preço]], "")</f>
        <v/>
      </c>
    </row>
    <row r="45" spans="2:11">
      <c r="B45" t="str">
        <f>IFERROR(INDEX(insumos[ID], MATCH(Tabela14[[#This Row],[Item]], insumos[item], 0)), "")</f>
        <v/>
      </c>
      <c r="E45" s="23"/>
      <c r="F45" s="1"/>
      <c r="G45" s="24"/>
      <c r="H45" s="1" t="str">
        <f>IFERROR(ROUNDUP(Tabela14[[#This Row],[Pedido Mínimo]], Tabela14[[#This Row],[Arredondar]]), "")</f>
        <v/>
      </c>
      <c r="J45" s="13" t="str">
        <f>IFERROR(Tabela14[[#This Row],[Pedido Mínimo]] * Tabela14[[#This Row],[Preço]], "")</f>
        <v/>
      </c>
      <c r="K45" s="13" t="str">
        <f>IFERROR(Tabela14[[#This Row],[Pedido]] * Tabela14[[#This Row],[Preço]], "")</f>
        <v/>
      </c>
    </row>
    <row r="46" spans="2:11">
      <c r="B46" t="str">
        <f>IFERROR(INDEX(insumos[ID], MATCH(Tabela14[[#This Row],[Item]], insumos[item], 0)), "")</f>
        <v/>
      </c>
      <c r="E46" s="23"/>
      <c r="F46" s="1"/>
      <c r="G46" s="24"/>
      <c r="H46" s="1" t="str">
        <f>IFERROR(ROUNDUP(Tabela14[[#This Row],[Pedido Mínimo]], Tabela14[[#This Row],[Arredondar]]), "")</f>
        <v/>
      </c>
      <c r="J46" s="13" t="str">
        <f>IFERROR(Tabela14[[#This Row],[Pedido Mínimo]] * Tabela14[[#This Row],[Preço]], "")</f>
        <v/>
      </c>
      <c r="K46" s="13" t="str">
        <f>IFERROR(Tabela14[[#This Row],[Pedido]] * Tabela14[[#This Row],[Preço]], "")</f>
        <v/>
      </c>
    </row>
    <row r="47" spans="2:11">
      <c r="B47" t="str">
        <f>IFERROR(INDEX(insumos[ID], MATCH(Tabela14[[#This Row],[Item]], insumos[item], 0)), "")</f>
        <v/>
      </c>
      <c r="E47" s="23"/>
      <c r="F47" s="1"/>
      <c r="G47" s="24"/>
      <c r="H47" s="1" t="str">
        <f>IFERROR(ROUNDUP(Tabela14[[#This Row],[Pedido Mínimo]], Tabela14[[#This Row],[Arredondar]]), "")</f>
        <v/>
      </c>
      <c r="J47" s="13" t="str">
        <f>IFERROR(Tabela14[[#This Row],[Pedido Mínimo]] * Tabela14[[#This Row],[Preço]], "")</f>
        <v/>
      </c>
      <c r="K47" s="13" t="str">
        <f>IFERROR(Tabela14[[#This Row],[Pedido]] * Tabela14[[#This Row],[Preço]], "")</f>
        <v/>
      </c>
    </row>
    <row r="48" spans="2:11">
      <c r="B48" t="str">
        <f>IFERROR(INDEX(insumos[ID], MATCH(Tabela14[[#This Row],[Item]], insumos[item], 0)), "")</f>
        <v/>
      </c>
      <c r="E48" s="23"/>
      <c r="F48" s="1"/>
      <c r="G48" s="24"/>
      <c r="H48" s="1" t="str">
        <f>IFERROR(ROUNDUP(Tabela14[[#This Row],[Pedido Mínimo]], Tabela14[[#This Row],[Arredondar]]), "")</f>
        <v/>
      </c>
      <c r="J48" s="13" t="str">
        <f>IFERROR(Tabela14[[#This Row],[Pedido Mínimo]] * Tabela14[[#This Row],[Preço]], "")</f>
        <v/>
      </c>
      <c r="K48" s="13" t="str">
        <f>IFERROR(Tabela14[[#This Row],[Pedido]] * Tabela14[[#This Row],[Preço]], "")</f>
        <v/>
      </c>
    </row>
    <row r="49" spans="2:11">
      <c r="B49" t="str">
        <f>IFERROR(INDEX(insumos[ID], MATCH(Tabela14[[#This Row],[Item]], insumos[item], 0)), "")</f>
        <v/>
      </c>
      <c r="E49" s="23"/>
      <c r="F49" s="1"/>
      <c r="G49" s="24"/>
      <c r="H49" s="1" t="str">
        <f>IFERROR(ROUNDUP(Tabela14[[#This Row],[Pedido Mínimo]], Tabela14[[#This Row],[Arredondar]]), "")</f>
        <v/>
      </c>
      <c r="J49" s="13" t="str">
        <f>IFERROR(Tabela14[[#This Row],[Pedido Mínimo]] * Tabela14[[#This Row],[Preço]], "")</f>
        <v/>
      </c>
      <c r="K49" s="13" t="str">
        <f>IFERROR(Tabela14[[#This Row],[Pedido]] * Tabela14[[#This Row],[Preço]], "")</f>
        <v/>
      </c>
    </row>
    <row r="50" spans="2:11">
      <c r="B50" t="str">
        <f>IFERROR(INDEX(insumos[ID], MATCH(Tabela14[[#This Row],[Item]], insumos[item], 0)), "")</f>
        <v/>
      </c>
      <c r="E50" s="23"/>
      <c r="F50" s="1"/>
      <c r="G50" s="24"/>
      <c r="H50" s="1" t="str">
        <f>IFERROR(ROUNDUP(Tabela14[[#This Row],[Pedido Mínimo]], Tabela14[[#This Row],[Arredondar]]), "")</f>
        <v/>
      </c>
      <c r="J50" s="13" t="str">
        <f>IFERROR(Tabela14[[#This Row],[Pedido Mínimo]] * Tabela14[[#This Row],[Preço]], "")</f>
        <v/>
      </c>
      <c r="K50" s="13" t="str">
        <f>IFERROR(Tabela14[[#This Row],[Pedido]] * Tabela14[[#This Row],[Preço]], "")</f>
        <v/>
      </c>
    </row>
    <row r="51" spans="2:11">
      <c r="B51" t="str">
        <f>IFERROR(INDEX(insumos[ID], MATCH(Tabela14[[#This Row],[Item]], insumos[item], 0)), "")</f>
        <v/>
      </c>
      <c r="E51" s="23"/>
      <c r="F51" s="1"/>
      <c r="G51" s="24"/>
      <c r="H51" s="1" t="str">
        <f>IFERROR(ROUNDUP(Tabela14[[#This Row],[Pedido Mínimo]], Tabela14[[#This Row],[Arredondar]]), "")</f>
        <v/>
      </c>
      <c r="J51" s="13" t="str">
        <f>IFERROR(Tabela14[[#This Row],[Pedido Mínimo]] * Tabela14[[#This Row],[Preço]], "")</f>
        <v/>
      </c>
      <c r="K51" s="13" t="str">
        <f>IFERROR(Tabela14[[#This Row],[Pedido]] * Tabela14[[#This Row],[Preço]], "")</f>
        <v/>
      </c>
    </row>
    <row r="52" spans="2:11">
      <c r="B52" t="str">
        <f>IFERROR(INDEX(insumos[ID], MATCH(Tabela14[[#This Row],[Item]], insumos[item], 0)), "")</f>
        <v/>
      </c>
      <c r="E52" s="23"/>
      <c r="F52" s="1"/>
      <c r="G52" s="24"/>
      <c r="H52" s="1" t="str">
        <f>IFERROR(ROUNDUP(Tabela14[[#This Row],[Pedido Mínimo]], Tabela14[[#This Row],[Arredondar]]), "")</f>
        <v/>
      </c>
      <c r="J52" s="13" t="str">
        <f>IFERROR(Tabela14[[#This Row],[Pedido Mínimo]] * Tabela14[[#This Row],[Preço]], "")</f>
        <v/>
      </c>
      <c r="K52" s="13" t="str">
        <f>IFERROR(Tabela14[[#This Row],[Pedido]] * Tabela14[[#This Row],[Preço]], "")</f>
        <v/>
      </c>
    </row>
    <row r="53" spans="2:11">
      <c r="B53" t="str">
        <f>IFERROR(INDEX(insumos[ID], MATCH(Tabela14[[#This Row],[Item]], insumos[item], 0)), "")</f>
        <v/>
      </c>
      <c r="E53" s="23"/>
      <c r="F53" s="1"/>
      <c r="G53" s="24"/>
      <c r="H53" s="1" t="str">
        <f>IFERROR(ROUNDUP(Tabela14[[#This Row],[Pedido Mínimo]], Tabela14[[#This Row],[Arredondar]]), "")</f>
        <v/>
      </c>
      <c r="J53" s="13" t="str">
        <f>IFERROR(Tabela14[[#This Row],[Pedido Mínimo]] * Tabela14[[#This Row],[Preço]], "")</f>
        <v/>
      </c>
      <c r="K53" s="13" t="str">
        <f>IFERROR(Tabela14[[#This Row],[Pedido]] * Tabela14[[#This Row],[Preço]], "")</f>
        <v/>
      </c>
    </row>
    <row r="54" spans="2:11">
      <c r="B54" t="str">
        <f>IFERROR(INDEX(insumos[ID], MATCH(Tabela14[[#This Row],[Item]], insumos[item], 0)), "")</f>
        <v/>
      </c>
      <c r="E54" s="23"/>
      <c r="F54" s="1"/>
      <c r="G54" s="24"/>
      <c r="H54" s="1" t="str">
        <f>IFERROR(ROUNDUP(Tabela14[[#This Row],[Pedido Mínimo]], Tabela14[[#This Row],[Arredondar]]), "")</f>
        <v/>
      </c>
      <c r="J54" s="13" t="str">
        <f>IFERROR(Tabela14[[#This Row],[Pedido Mínimo]] * Tabela14[[#This Row],[Preço]], "")</f>
        <v/>
      </c>
      <c r="K54" s="13" t="str">
        <f>IFERROR(Tabela14[[#This Row],[Pedido]] * Tabela14[[#This Row],[Preço]], "")</f>
        <v/>
      </c>
    </row>
    <row r="55" spans="2:11">
      <c r="B55" t="str">
        <f>IFERROR(INDEX(insumos[ID], MATCH(Tabela14[[#This Row],[Item]], insumos[item], 0)), "")</f>
        <v/>
      </c>
      <c r="E55" s="23"/>
      <c r="F55" s="1"/>
      <c r="G55" s="24"/>
      <c r="H55" s="1" t="str">
        <f>IFERROR(ROUNDUP(Tabela14[[#This Row],[Pedido Mínimo]], Tabela14[[#This Row],[Arredondar]]), "")</f>
        <v/>
      </c>
      <c r="J55" s="13" t="str">
        <f>IFERROR(Tabela14[[#This Row],[Pedido Mínimo]] * Tabela14[[#This Row],[Preço]], "")</f>
        <v/>
      </c>
      <c r="K55" s="13" t="str">
        <f>IFERROR(Tabela14[[#This Row],[Pedido]] * Tabela14[[#This Row],[Preço]], "")</f>
        <v/>
      </c>
    </row>
    <row r="56" spans="2:11">
      <c r="B56" t="str">
        <f>IFERROR(INDEX(insumos[ID], MATCH(Tabela14[[#This Row],[Item]], insumos[item], 0)), "")</f>
        <v/>
      </c>
      <c r="E56" s="23"/>
      <c r="F56" s="1"/>
      <c r="G56" s="24"/>
      <c r="H56" s="1" t="str">
        <f>IFERROR(ROUNDUP(Tabela14[[#This Row],[Pedido Mínimo]], Tabela14[[#This Row],[Arredondar]]), "")</f>
        <v/>
      </c>
      <c r="J56" s="13" t="str">
        <f>IFERROR(Tabela14[[#This Row],[Pedido Mínimo]] * Tabela14[[#This Row],[Preço]], "")</f>
        <v/>
      </c>
      <c r="K56" s="13" t="str">
        <f>IFERROR(Tabela14[[#This Row],[Pedido]] * Tabela14[[#This Row],[Preço]], "")</f>
        <v/>
      </c>
    </row>
    <row r="57" spans="2:11">
      <c r="B57" t="str">
        <f>IFERROR(INDEX(insumos[ID], MATCH(Tabela14[[#This Row],[Item]], insumos[item], 0)), "")</f>
        <v/>
      </c>
      <c r="E57" s="23"/>
      <c r="F57" s="1"/>
      <c r="G57" s="24"/>
      <c r="H57" s="1" t="str">
        <f>IFERROR(ROUNDUP(Tabela14[[#This Row],[Pedido Mínimo]], Tabela14[[#This Row],[Arredondar]]), "")</f>
        <v/>
      </c>
      <c r="J57" s="13" t="str">
        <f>IFERROR(Tabela14[[#This Row],[Pedido Mínimo]] * Tabela14[[#This Row],[Preço]], "")</f>
        <v/>
      </c>
      <c r="K57" s="13" t="str">
        <f>IFERROR(Tabela14[[#This Row],[Pedido]] * Tabela14[[#This Row],[Preço]], "")</f>
        <v/>
      </c>
    </row>
    <row r="58" spans="2:11">
      <c r="B58" t="str">
        <f>IFERROR(INDEX(insumos[ID], MATCH(Tabela14[[#This Row],[Item]], insumos[item], 0)), "")</f>
        <v/>
      </c>
      <c r="E58" s="23"/>
      <c r="F58" s="1"/>
      <c r="G58" s="24"/>
      <c r="H58" s="1" t="str">
        <f>IFERROR(ROUNDUP(Tabela14[[#This Row],[Pedido Mínimo]], Tabela14[[#This Row],[Arredondar]]), "")</f>
        <v/>
      </c>
      <c r="J58" s="13" t="str">
        <f>IFERROR(Tabela14[[#This Row],[Pedido Mínimo]] * Tabela14[[#This Row],[Preço]], "")</f>
        <v/>
      </c>
      <c r="K58" s="13" t="str">
        <f>IFERROR(Tabela14[[#This Row],[Pedido]] * Tabela14[[#This Row],[Preço]], "")</f>
        <v/>
      </c>
    </row>
    <row r="59" spans="2:11">
      <c r="B59" t="str">
        <f>IFERROR(INDEX(insumos[ID], MATCH(Tabela14[[#This Row],[Item]], insumos[item], 0)), "")</f>
        <v/>
      </c>
      <c r="E59" s="23"/>
      <c r="F59" s="1"/>
      <c r="G59" s="24"/>
      <c r="H59" s="1" t="str">
        <f>IFERROR(ROUNDUP(Tabela14[[#This Row],[Pedido Mínimo]], Tabela14[[#This Row],[Arredondar]]), "")</f>
        <v/>
      </c>
      <c r="J59" s="13" t="str">
        <f>IFERROR(Tabela14[[#This Row],[Pedido Mínimo]] * Tabela14[[#This Row],[Preço]], "")</f>
        <v/>
      </c>
      <c r="K59" s="13" t="str">
        <f>IFERROR(Tabela14[[#This Row],[Pedido]] * Tabela14[[#This Row],[Preço]], "")</f>
        <v/>
      </c>
    </row>
    <row r="60" spans="2:11">
      <c r="B60" t="str">
        <f>IFERROR(INDEX(insumos[ID], MATCH(Tabela14[[#This Row],[Item]], insumos[item], 0)), "")</f>
        <v/>
      </c>
      <c r="E60" s="23"/>
      <c r="F60" s="1"/>
      <c r="G60" s="24"/>
      <c r="H60" s="1" t="str">
        <f>IFERROR(ROUNDUP(Tabela14[[#This Row],[Pedido Mínimo]], Tabela14[[#This Row],[Arredondar]]), "")</f>
        <v/>
      </c>
      <c r="J60" s="13" t="str">
        <f>IFERROR(Tabela14[[#This Row],[Pedido Mínimo]] * Tabela14[[#This Row],[Preço]], "")</f>
        <v/>
      </c>
      <c r="K60" s="13" t="str">
        <f>IFERROR(Tabela14[[#This Row],[Pedido]] * Tabela14[[#This Row],[Preço]], "")</f>
        <v/>
      </c>
    </row>
    <row r="61" spans="2:11">
      <c r="B61" t="str">
        <f>IFERROR(INDEX(insumos[ID], MATCH(Tabela14[[#This Row],[Item]], insumos[item], 0)), "")</f>
        <v/>
      </c>
      <c r="E61" s="23"/>
      <c r="F61" s="1"/>
      <c r="G61" s="24"/>
      <c r="H61" s="1" t="str">
        <f>IFERROR(ROUNDUP(Tabela14[[#This Row],[Pedido Mínimo]], Tabela14[[#This Row],[Arredondar]]), "")</f>
        <v/>
      </c>
      <c r="J61" s="13" t="str">
        <f>IFERROR(Tabela14[[#This Row],[Pedido Mínimo]] * Tabela14[[#This Row],[Preço]], "")</f>
        <v/>
      </c>
      <c r="K61" s="13" t="str">
        <f>IFERROR(Tabela14[[#This Row],[Pedido]] * Tabela14[[#This Row],[Preço]], "")</f>
        <v/>
      </c>
    </row>
    <row r="62" spans="2:11">
      <c r="B62" t="str">
        <f>IFERROR(INDEX(insumos[ID], MATCH(Tabela14[[#This Row],[Item]], insumos[item], 0)), "")</f>
        <v/>
      </c>
      <c r="E62" s="23"/>
      <c r="F62" s="1"/>
      <c r="G62" s="24"/>
      <c r="H62" s="1" t="str">
        <f>IFERROR(ROUNDUP(Tabela14[[#This Row],[Pedido Mínimo]], Tabela14[[#This Row],[Arredondar]]), "")</f>
        <v/>
      </c>
      <c r="J62" s="13" t="str">
        <f>IFERROR(Tabela14[[#This Row],[Pedido Mínimo]] * Tabela14[[#This Row],[Preço]], "")</f>
        <v/>
      </c>
      <c r="K62" s="13" t="str">
        <f>IFERROR(Tabela14[[#This Row],[Pedido]] * Tabela14[[#This Row],[Preço]], "")</f>
        <v/>
      </c>
    </row>
    <row r="63" spans="2:11">
      <c r="B63" t="str">
        <f>IFERROR(INDEX(insumos[ID], MATCH(Tabela14[[#This Row],[Item]], insumos[item], 0)), "")</f>
        <v/>
      </c>
      <c r="E63" s="23"/>
      <c r="F63" s="1"/>
      <c r="G63" s="24"/>
      <c r="H63" s="1" t="str">
        <f>IFERROR(ROUNDUP(Tabela14[[#This Row],[Pedido Mínimo]], Tabela14[[#This Row],[Arredondar]]), "")</f>
        <v/>
      </c>
      <c r="J63" s="13" t="str">
        <f>IFERROR(Tabela14[[#This Row],[Pedido Mínimo]] * Tabela14[[#This Row],[Preço]], "")</f>
        <v/>
      </c>
      <c r="K63" s="13" t="str">
        <f>IFERROR(Tabela14[[#This Row],[Pedido]] * Tabela14[[#This Row],[Preço]], "")</f>
        <v/>
      </c>
    </row>
    <row r="64" spans="2:11">
      <c r="B64" t="str">
        <f>IFERROR(INDEX(insumos[ID], MATCH(Tabela14[[#This Row],[Item]], insumos[item], 0)), "")</f>
        <v/>
      </c>
      <c r="E64" s="23"/>
      <c r="F64" s="1"/>
      <c r="G64" s="24"/>
      <c r="H64" s="1" t="str">
        <f>IFERROR(ROUNDUP(Tabela14[[#This Row],[Pedido Mínimo]], Tabela14[[#This Row],[Arredondar]]), "")</f>
        <v/>
      </c>
      <c r="J64" s="13" t="str">
        <f>IFERROR(Tabela14[[#This Row],[Pedido Mínimo]] * Tabela14[[#This Row],[Preço]], "")</f>
        <v/>
      </c>
      <c r="K64" s="13" t="str">
        <f>IFERROR(Tabela14[[#This Row],[Pedido]] * Tabela14[[#This Row],[Preço]], "")</f>
        <v/>
      </c>
    </row>
    <row r="65" spans="2:11">
      <c r="B65" t="str">
        <f>IFERROR(INDEX(insumos[ID], MATCH(Tabela14[[#This Row],[Item]], insumos[item], 0)), "")</f>
        <v/>
      </c>
      <c r="E65" s="23"/>
      <c r="F65" s="1"/>
      <c r="G65" s="24"/>
      <c r="H65" s="1" t="str">
        <f>IFERROR(ROUNDUP(Tabela14[[#This Row],[Pedido Mínimo]], Tabela14[[#This Row],[Arredondar]]), "")</f>
        <v/>
      </c>
      <c r="J65" s="13" t="str">
        <f>IFERROR(Tabela14[[#This Row],[Pedido Mínimo]] * Tabela14[[#This Row],[Preço]], "")</f>
        <v/>
      </c>
      <c r="K65" s="13" t="str">
        <f>IFERROR(Tabela14[[#This Row],[Pedido]] * Tabela14[[#This Row],[Preço]], "")</f>
        <v/>
      </c>
    </row>
    <row r="66" spans="2:11">
      <c r="B66" t="str">
        <f>IFERROR(INDEX(insumos[ID], MATCH(Tabela14[[#This Row],[Item]], insumos[item], 0)), "")</f>
        <v/>
      </c>
      <c r="E66" s="23"/>
      <c r="F66" s="1"/>
      <c r="G66" s="24"/>
      <c r="H66" s="1" t="str">
        <f>IFERROR(ROUNDUP(Tabela14[[#This Row],[Pedido Mínimo]], Tabela14[[#This Row],[Arredondar]]), "")</f>
        <v/>
      </c>
      <c r="J66" s="13" t="str">
        <f>IFERROR(Tabela14[[#This Row],[Pedido Mínimo]] * Tabela14[[#This Row],[Preço]], "")</f>
        <v/>
      </c>
      <c r="K66" s="13" t="str">
        <f>IFERROR(Tabela14[[#This Row],[Pedido]] * Tabela14[[#This Row],[Preço]], "")</f>
        <v/>
      </c>
    </row>
    <row r="67" spans="2:11">
      <c r="B67" t="str">
        <f>IFERROR(INDEX(insumos[ID], MATCH(Tabela14[[#This Row],[Item]], insumos[item], 0)), "")</f>
        <v/>
      </c>
      <c r="E67" s="23"/>
      <c r="F67" s="1"/>
      <c r="G67" s="24"/>
      <c r="H67" s="1" t="str">
        <f>IFERROR(ROUNDUP(Tabela14[[#This Row],[Pedido Mínimo]], Tabela14[[#This Row],[Arredondar]]), "")</f>
        <v/>
      </c>
      <c r="J67" s="13" t="str">
        <f>IFERROR(Tabela14[[#This Row],[Pedido Mínimo]] * Tabela14[[#This Row],[Preço]], "")</f>
        <v/>
      </c>
      <c r="K67" s="13" t="str">
        <f>IFERROR(Tabela14[[#This Row],[Pedido]] * Tabela14[[#This Row],[Preço]], "")</f>
        <v/>
      </c>
    </row>
    <row r="68" spans="2:11">
      <c r="B68" t="str">
        <f>IFERROR(INDEX(insumos[ID], MATCH(Tabela14[[#This Row],[Item]], insumos[item], 0)), "")</f>
        <v/>
      </c>
      <c r="E68" s="23"/>
      <c r="F68" s="1"/>
      <c r="G68" s="24"/>
      <c r="H68" s="1" t="str">
        <f>IFERROR(ROUNDUP(Tabela14[[#This Row],[Pedido Mínimo]], Tabela14[[#This Row],[Arredondar]]), "")</f>
        <v/>
      </c>
      <c r="J68" s="13" t="str">
        <f>IFERROR(Tabela14[[#This Row],[Pedido Mínimo]] * Tabela14[[#This Row],[Preço]], "")</f>
        <v/>
      </c>
      <c r="K68" s="13" t="str">
        <f>IFERROR(Tabela14[[#This Row],[Pedido]] * Tabela14[[#This Row],[Preço]], "")</f>
        <v/>
      </c>
    </row>
    <row r="69" spans="2:11">
      <c r="B69" t="str">
        <f>IFERROR(INDEX(insumos[ID], MATCH(Tabela14[[#This Row],[Item]], insumos[item], 0)), "")</f>
        <v/>
      </c>
      <c r="E69" s="23"/>
      <c r="F69" s="1"/>
      <c r="G69" s="24"/>
      <c r="H69" s="1" t="str">
        <f>IFERROR(ROUNDUP(Tabela14[[#This Row],[Pedido Mínimo]], Tabela14[[#This Row],[Arredondar]]), "")</f>
        <v/>
      </c>
      <c r="J69" s="13" t="str">
        <f>IFERROR(Tabela14[[#This Row],[Pedido Mínimo]] * Tabela14[[#This Row],[Preço]], "")</f>
        <v/>
      </c>
      <c r="K69" s="13" t="str">
        <f>IFERROR(Tabela14[[#This Row],[Pedido]] * Tabela14[[#This Row],[Preço]], "")</f>
        <v/>
      </c>
    </row>
    <row r="70" spans="2:11">
      <c r="B70" t="str">
        <f>IFERROR(INDEX(insumos[ID], MATCH(Tabela14[[#This Row],[Item]], insumos[item], 0)), "")</f>
        <v/>
      </c>
      <c r="E70" s="23"/>
      <c r="F70" s="1"/>
      <c r="G70" s="24"/>
      <c r="H70" s="1" t="str">
        <f>IFERROR(ROUNDUP(Tabela14[[#This Row],[Pedido Mínimo]], Tabela14[[#This Row],[Arredondar]]), "")</f>
        <v/>
      </c>
      <c r="J70" s="13" t="str">
        <f>IFERROR(Tabela14[[#This Row],[Pedido Mínimo]] * Tabela14[[#This Row],[Preço]], "")</f>
        <v/>
      </c>
      <c r="K70" s="13" t="str">
        <f>IFERROR(Tabela14[[#This Row],[Pedido]] * Tabela14[[#This Row],[Preço]], "")</f>
        <v/>
      </c>
    </row>
    <row r="71" spans="2:11">
      <c r="B71" t="str">
        <f>IFERROR(INDEX(insumos[ID], MATCH(Tabela14[[#This Row],[Item]], insumos[item], 0)), "")</f>
        <v/>
      </c>
      <c r="E71" s="23"/>
      <c r="F71" s="1"/>
      <c r="G71" s="24"/>
      <c r="H71" s="1" t="str">
        <f>IFERROR(ROUNDUP(Tabela14[[#This Row],[Pedido Mínimo]], Tabela14[[#This Row],[Arredondar]]), "")</f>
        <v/>
      </c>
      <c r="J71" s="13" t="str">
        <f>IFERROR(Tabela14[[#This Row],[Pedido Mínimo]] * Tabela14[[#This Row],[Preço]], "")</f>
        <v/>
      </c>
      <c r="K71" s="13" t="str">
        <f>IFERROR(Tabela14[[#This Row],[Pedido]] * Tabela14[[#This Row],[Preço]], "")</f>
        <v/>
      </c>
    </row>
    <row r="72" spans="2:11">
      <c r="B72" t="str">
        <f>IFERROR(INDEX(insumos[ID], MATCH(Tabela14[[#This Row],[Item]], insumos[item], 0)), "")</f>
        <v/>
      </c>
      <c r="E72" s="23"/>
      <c r="F72" s="1"/>
      <c r="G72" s="24"/>
      <c r="H72" s="1" t="str">
        <f>IFERROR(ROUNDUP(Tabela14[[#This Row],[Pedido Mínimo]], Tabela14[[#This Row],[Arredondar]]), "")</f>
        <v/>
      </c>
      <c r="J72" s="13" t="str">
        <f>IFERROR(Tabela14[[#This Row],[Pedido Mínimo]] * Tabela14[[#This Row],[Preço]], "")</f>
        <v/>
      </c>
      <c r="K72" s="13" t="str">
        <f>IFERROR(Tabela14[[#This Row],[Pedido]] * Tabela14[[#This Row],[Preço]], "")</f>
        <v/>
      </c>
    </row>
    <row r="73" spans="2:11">
      <c r="B73" t="str">
        <f>IFERROR(INDEX(insumos[ID], MATCH(Tabela14[[#This Row],[Item]], insumos[item], 0)), "")</f>
        <v/>
      </c>
      <c r="E73" s="23"/>
      <c r="F73" s="1"/>
      <c r="G73" s="24"/>
      <c r="H73" s="1" t="str">
        <f>IFERROR(ROUNDUP(Tabela14[[#This Row],[Pedido Mínimo]], Tabela14[[#This Row],[Arredondar]]), "")</f>
        <v/>
      </c>
      <c r="J73" s="13" t="str">
        <f>IFERROR(Tabela14[[#This Row],[Pedido Mínimo]] * Tabela14[[#This Row],[Preço]], "")</f>
        <v/>
      </c>
      <c r="K73" s="13" t="str">
        <f>IFERROR(Tabela14[[#This Row],[Pedido]] * Tabela14[[#This Row],[Preço]], "")</f>
        <v/>
      </c>
    </row>
    <row r="74" spans="2:11">
      <c r="B74" t="str">
        <f>IFERROR(INDEX(insumos[ID], MATCH(Tabela14[[#This Row],[Item]], insumos[item], 0)), "")</f>
        <v/>
      </c>
      <c r="E74" s="23"/>
      <c r="F74" s="1"/>
      <c r="G74" s="24"/>
      <c r="H74" s="1" t="str">
        <f>IFERROR(ROUNDUP(Tabela14[[#This Row],[Pedido Mínimo]], Tabela14[[#This Row],[Arredondar]]), "")</f>
        <v/>
      </c>
      <c r="J74" s="13" t="str">
        <f>IFERROR(Tabela14[[#This Row],[Pedido Mínimo]] * Tabela14[[#This Row],[Preço]], "")</f>
        <v/>
      </c>
      <c r="K74" s="13" t="str">
        <f>IFERROR(Tabela14[[#This Row],[Pedido]] * Tabela14[[#This Row],[Preço]], "")</f>
        <v/>
      </c>
    </row>
    <row r="75" spans="2:11">
      <c r="B75" t="str">
        <f>IFERROR(INDEX(insumos[ID], MATCH(Tabela14[[#This Row],[Item]], insumos[item], 0)), "")</f>
        <v/>
      </c>
      <c r="E75" s="23"/>
      <c r="F75" s="1"/>
      <c r="G75" s="24"/>
      <c r="H75" s="1" t="str">
        <f>IFERROR(ROUNDUP(Tabela14[[#This Row],[Pedido Mínimo]], Tabela14[[#This Row],[Arredondar]]), "")</f>
        <v/>
      </c>
      <c r="J75" s="13" t="str">
        <f>IFERROR(Tabela14[[#This Row],[Pedido Mínimo]] * Tabela14[[#This Row],[Preço]], "")</f>
        <v/>
      </c>
      <c r="K75" s="13" t="str">
        <f>IFERROR(Tabela14[[#This Row],[Pedido]] * Tabela14[[#This Row],[Preço]], "")</f>
        <v/>
      </c>
    </row>
    <row r="76" spans="2:11">
      <c r="B76" t="str">
        <f>IFERROR(INDEX(insumos[ID], MATCH(Tabela14[[#This Row],[Item]], insumos[item], 0)), "")</f>
        <v/>
      </c>
      <c r="E76" s="23"/>
      <c r="F76" s="1"/>
      <c r="G76" s="24"/>
      <c r="H76" s="1" t="str">
        <f>IFERROR(ROUNDUP(Tabela14[[#This Row],[Pedido Mínimo]], Tabela14[[#This Row],[Arredondar]]), "")</f>
        <v/>
      </c>
      <c r="J76" s="13" t="str">
        <f>IFERROR(Tabela14[[#This Row],[Pedido Mínimo]] * Tabela14[[#This Row],[Preço]], "")</f>
        <v/>
      </c>
      <c r="K76" s="13" t="str">
        <f>IFERROR(Tabela14[[#This Row],[Pedido]] * Tabela14[[#This Row],[Preço]], "")</f>
        <v/>
      </c>
    </row>
    <row r="77" spans="2:11">
      <c r="B77" t="str">
        <f>IFERROR(INDEX(insumos[ID], MATCH(Tabela14[[#This Row],[Item]], insumos[item], 0)), "")</f>
        <v/>
      </c>
      <c r="E77" s="23"/>
      <c r="F77" s="1"/>
      <c r="G77" s="24"/>
      <c r="H77" s="1" t="str">
        <f>IFERROR(ROUNDUP(Tabela14[[#This Row],[Pedido Mínimo]], Tabela14[[#This Row],[Arredondar]]), "")</f>
        <v/>
      </c>
      <c r="J77" s="13" t="str">
        <f>IFERROR(Tabela14[[#This Row],[Pedido Mínimo]] * Tabela14[[#This Row],[Preço]], "")</f>
        <v/>
      </c>
      <c r="K77" s="13" t="str">
        <f>IFERROR(Tabela14[[#This Row],[Pedido]] * Tabela14[[#This Row],[Preço]], "")</f>
        <v/>
      </c>
    </row>
    <row r="78" spans="2:11">
      <c r="B78" t="str">
        <f>IFERROR(INDEX(insumos[ID], MATCH(Tabela14[[#This Row],[Item]], insumos[item], 0)), "")</f>
        <v/>
      </c>
      <c r="E78" s="23"/>
      <c r="F78" s="1"/>
      <c r="G78" s="24"/>
      <c r="H78" s="1" t="str">
        <f>IFERROR(ROUNDUP(Tabela14[[#This Row],[Pedido Mínimo]], Tabela14[[#This Row],[Arredondar]]), "")</f>
        <v/>
      </c>
      <c r="J78" s="13" t="str">
        <f>IFERROR(Tabela14[[#This Row],[Pedido Mínimo]] * Tabela14[[#This Row],[Preço]], "")</f>
        <v/>
      </c>
      <c r="K78" s="13" t="str">
        <f>IFERROR(Tabela14[[#This Row],[Pedido]] * Tabela14[[#This Row],[Preço]], "")</f>
        <v/>
      </c>
    </row>
    <row r="79" spans="2:11">
      <c r="B79" t="str">
        <f>IFERROR(INDEX(insumos[ID], MATCH(Tabela14[[#This Row],[Item]], insumos[item], 0)), "")</f>
        <v/>
      </c>
      <c r="E79" s="23"/>
      <c r="F79" s="1"/>
      <c r="G79" s="24"/>
      <c r="H79" s="1" t="str">
        <f>IFERROR(ROUNDUP(Tabela14[[#This Row],[Pedido Mínimo]], Tabela14[[#This Row],[Arredondar]]), "")</f>
        <v/>
      </c>
      <c r="J79" s="13" t="str">
        <f>IFERROR(Tabela14[[#This Row],[Pedido Mínimo]] * Tabela14[[#This Row],[Preço]], "")</f>
        <v/>
      </c>
      <c r="K79" s="13" t="str">
        <f>IFERROR(Tabela14[[#This Row],[Pedido]] * Tabela14[[#This Row],[Preço]], "")</f>
        <v/>
      </c>
    </row>
  </sheetData>
  <mergeCells count="1">
    <mergeCell ref="B2:K2"/>
  </mergeCells>
  <dataValidations count="2">
    <dataValidation type="list" allowBlank="1" showInputMessage="1" showErrorMessage="1" sqref="D5:D36 D38:D79" xr:uid="{206ADCBF-CCA5-47C9-A1CC-20C82735B7FB}">
      <formula1>INDIRECT("insumos[item]")</formula1>
    </dataValidation>
    <dataValidation type="list" allowBlank="1" showInputMessage="1" showErrorMessage="1" sqref="C5:C36 C38:C79" xr:uid="{4BAA37C5-D0AC-4ABF-88D1-A032BA4E2712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3260-CE13-4EE7-B36C-9EA2390EC579}">
  <sheetPr codeName="Planilha7"/>
  <dimension ref="B4:D12"/>
  <sheetViews>
    <sheetView workbookViewId="0">
      <selection activeCell="G8" sqref="G8"/>
    </sheetView>
  </sheetViews>
  <sheetFormatPr defaultRowHeight="15"/>
  <cols>
    <col min="2" max="2" width="21.7109375" bestFit="1" customWidth="1"/>
    <col min="3" max="3" width="23.85546875" bestFit="1" customWidth="1"/>
    <col min="4" max="4" width="21.140625" bestFit="1" customWidth="1"/>
  </cols>
  <sheetData>
    <row r="4" spans="2:4">
      <c r="B4" t="s">
        <v>18</v>
      </c>
      <c r="C4" t="s">
        <v>19</v>
      </c>
      <c r="D4" t="s">
        <v>20</v>
      </c>
    </row>
    <row r="5" spans="2:4">
      <c r="B5" s="2" t="s">
        <v>152</v>
      </c>
      <c r="C5" s="21">
        <v>4000</v>
      </c>
      <c r="D5" s="5">
        <f>CFMensais[[#This Row],[Valor]]/SUM(CFMensais[Valor])</f>
        <v>0.97919216646266827</v>
      </c>
    </row>
    <row r="6" spans="2:4">
      <c r="B6" s="2" t="s">
        <v>153</v>
      </c>
      <c r="C6" s="21">
        <v>85</v>
      </c>
      <c r="D6" s="5">
        <f>CFMensais[[#This Row],[Valor]]/SUM(CFMensais[Valor])</f>
        <v>2.0807833537331701E-2</v>
      </c>
    </row>
    <row r="7" spans="2:4">
      <c r="B7" s="2"/>
      <c r="C7" s="21"/>
      <c r="D7" s="5">
        <f>CFMensais[[#This Row],[Valor]]/SUM(CFMensais[Valor])</f>
        <v>0</v>
      </c>
    </row>
    <row r="8" spans="2:4">
      <c r="B8" s="2"/>
      <c r="C8" s="21"/>
      <c r="D8" s="5">
        <f>CFMensais[[#This Row],[Valor]]/SUM(CFMensais[Valor])</f>
        <v>0</v>
      </c>
    </row>
    <row r="9" spans="2:4">
      <c r="B9" s="2"/>
      <c r="C9" s="21"/>
      <c r="D9" s="5">
        <f>CFMensais[[#This Row],[Valor]]/SUM(CFMensais[Valor])</f>
        <v>0</v>
      </c>
    </row>
    <row r="10" spans="2:4">
      <c r="B10" s="2"/>
      <c r="C10" s="21"/>
      <c r="D10" s="5">
        <f>CFMensais[[#This Row],[Valor]]/SUM(CFMensais[Valor])</f>
        <v>0</v>
      </c>
    </row>
    <row r="11" spans="2:4">
      <c r="B11" s="2"/>
      <c r="C11" s="21"/>
      <c r="D11" s="5">
        <f>CFMensais[[#This Row],[Valor]]/SUM(CFMensais[Valor])</f>
        <v>0</v>
      </c>
    </row>
    <row r="12" spans="2:4">
      <c r="B12" s="2" t="s">
        <v>11</v>
      </c>
      <c r="C12" s="21">
        <f>SUBTOTAL(109,CFMensais[Valor])</f>
        <v>4085</v>
      </c>
      <c r="D12" s="6">
        <f>SUBTOTAL(109,CFMensais[Porcentagem])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D620-0AE2-43B1-B1D9-ADB3D1FC4A0D}">
  <sheetPr codeName="Planilha8"/>
  <dimension ref="B4:C21"/>
  <sheetViews>
    <sheetView workbookViewId="0">
      <selection activeCell="F8" sqref="F8"/>
    </sheetView>
  </sheetViews>
  <sheetFormatPr defaultRowHeight="15"/>
  <cols>
    <col min="2" max="2" width="11.42578125" bestFit="1" customWidth="1"/>
    <col min="3" max="3" width="14.85546875" customWidth="1"/>
  </cols>
  <sheetData>
    <row r="4" spans="2:3">
      <c r="B4" t="s">
        <v>21</v>
      </c>
      <c r="C4" t="s">
        <v>20</v>
      </c>
    </row>
    <row r="5" spans="2:3">
      <c r="B5" t="s">
        <v>154</v>
      </c>
      <c r="C5" s="27">
        <v>0.02</v>
      </c>
    </row>
    <row r="6" spans="2:3">
      <c r="B6" t="s">
        <v>133</v>
      </c>
      <c r="C6" s="27">
        <v>0.04</v>
      </c>
    </row>
    <row r="7" spans="2:3">
      <c r="B7" t="s">
        <v>132</v>
      </c>
      <c r="C7" s="27">
        <v>0.01</v>
      </c>
    </row>
    <row r="8" spans="2:3">
      <c r="B8" t="s">
        <v>151</v>
      </c>
      <c r="C8" s="27">
        <v>3.0000000000000001E-3</v>
      </c>
    </row>
    <row r="9" spans="2:3">
      <c r="B9" t="s">
        <v>25</v>
      </c>
      <c r="C9" s="27">
        <v>0.05</v>
      </c>
    </row>
    <row r="10" spans="2:3">
      <c r="B10" t="s">
        <v>26</v>
      </c>
      <c r="C10" s="27">
        <v>0.15</v>
      </c>
    </row>
    <row r="11" spans="2:3">
      <c r="C11" s="27"/>
    </row>
    <row r="12" spans="2:3">
      <c r="C12" s="27"/>
    </row>
    <row r="13" spans="2:3">
      <c r="C13" s="27"/>
    </row>
    <row r="14" spans="2:3">
      <c r="C14" s="27"/>
    </row>
    <row r="15" spans="2:3">
      <c r="C15" s="27"/>
    </row>
    <row r="16" spans="2:3">
      <c r="C16" s="27"/>
    </row>
    <row r="17" spans="2:3">
      <c r="C17" s="27"/>
    </row>
    <row r="18" spans="2:3">
      <c r="C18" s="27"/>
    </row>
    <row r="19" spans="2:3">
      <c r="C19" s="27"/>
    </row>
    <row r="20" spans="2:3">
      <c r="C20" s="27"/>
    </row>
    <row r="21" spans="2:3">
      <c r="B21" t="s">
        <v>11</v>
      </c>
      <c r="C21" s="10">
        <f>SUBTOTAL(109,DespesasVariaveis[Porcentagem])</f>
        <v>0.27300000000000002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7EBB-70AF-443A-A53F-C893AF659D96}">
  <sheetPr codeName="Planilha9"/>
  <dimension ref="B4:L42"/>
  <sheetViews>
    <sheetView workbookViewId="0">
      <selection activeCell="F8" sqref="F8"/>
    </sheetView>
  </sheetViews>
  <sheetFormatPr defaultRowHeight="15"/>
  <cols>
    <col min="3" max="3" width="34.140625" customWidth="1"/>
    <col min="4" max="8" width="15.7109375" customWidth="1"/>
    <col min="9" max="9" width="10.7109375" customWidth="1"/>
  </cols>
  <sheetData>
    <row r="4" spans="2:12">
      <c r="B4" t="s">
        <v>4</v>
      </c>
      <c r="C4" t="s">
        <v>21</v>
      </c>
      <c r="D4" t="s">
        <v>34</v>
      </c>
      <c r="E4" t="s">
        <v>35</v>
      </c>
      <c r="F4" s="1" t="s">
        <v>45</v>
      </c>
      <c r="G4" s="1" t="s">
        <v>36</v>
      </c>
      <c r="H4" s="1" t="s">
        <v>37</v>
      </c>
      <c r="I4" s="1" t="s">
        <v>44</v>
      </c>
    </row>
    <row r="5" spans="2:12">
      <c r="B5">
        <f>CaProdutos[[#This Row],[ID]]</f>
        <v>1</v>
      </c>
      <c r="C5" t="str">
        <f>IF(INDEX(CaProdutos[Item], MATCH(Precificação[[#This Row],[ID]], CaProdutos[ID], 0)) &lt;&gt; "", INDEX(CaProdutos[Item], MATCH(Precificação[[#This Row],[ID]], CaProdutos[ID], 0)), "")</f>
        <v>Carro Chefe Simples</v>
      </c>
      <c r="D5" s="13">
        <f>IF(Precificação[[#This Row],[Item]] &lt;&gt; "", INDEX(CaProdutos[Custo de Produção (1 un.)], MATCH(Precificação[[#This Row],[ID]], CaProdutos[ID], 0)), "")</f>
        <v>4.8638988338833888</v>
      </c>
      <c r="E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14.865905248782887</v>
      </c>
      <c r="F5" s="22">
        <v>15</v>
      </c>
      <c r="G5" s="16">
        <f>IFERROR(Precificação[[#This Row],[Preço Definitivo]] - INDEX(CaProdutos[Custo Total (1 un.)], MATCH(Precificação[[#This Row],[ID]], CaProdutos[ID], 0)), "")</f>
        <v>6.5796302147408685</v>
      </c>
      <c r="H5" s="16">
        <f>IFERROR(Precificação[[#This Row],[Lucro Bruto]] - INDEX(ConfPrec[Rateio de Custos Fixos], 1), "")</f>
        <v>3.7428246591853132</v>
      </c>
      <c r="I5" s="1" t="s">
        <v>33</v>
      </c>
    </row>
    <row r="6" spans="2:12">
      <c r="B6">
        <f>CaProdutos[[#This Row],[ID]]</f>
        <v>2</v>
      </c>
      <c r="C6" t="str">
        <f>IF(INDEX(CaProdutos[Item], MATCH(Precificação[[#This Row],[ID]], CaProdutos[ID], 0)) &lt;&gt; "", INDEX(CaProdutos[Item], MATCH(Precificação[[#This Row],[ID]], CaProdutos[ID], 0)), "")</f>
        <v>Carro Chefe Com Cheddar</v>
      </c>
      <c r="D6" s="13">
        <f>IF(Precificação[[#This Row],[Item]] &lt;&gt; "", INDEX(CaProdutos[Custo de Produção (1 un.)], MATCH(Precificação[[#This Row],[ID]], CaProdutos[ID], 0)), "")</f>
        <v>0</v>
      </c>
      <c r="E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6" s="22"/>
      <c r="G6" s="16">
        <f>IFERROR(Precificação[[#This Row],[Preço Definitivo]] - INDEX(CaProdutos[Custo Total (1 un.)], MATCH(Precificação[[#This Row],[ID]], CaProdutos[ID], 0)), "")</f>
        <v>0</v>
      </c>
      <c r="H6" s="16">
        <f>IFERROR(Precificação[[#This Row],[Lucro Bruto]] - INDEX(ConfPrec[Rateio de Custos Fixos], 1), "")</f>
        <v>-2.8368055555555554</v>
      </c>
      <c r="I6" s="1" t="str">
        <f>IF(Precificação[[#This Row],[Item]] &lt;&gt; "", INDEX(ConfPrec[C.F nos custos totais?], 1), "")</f>
        <v>Não</v>
      </c>
    </row>
    <row r="7" spans="2:12">
      <c r="B7">
        <f>CaProdutos[[#This Row],[ID]]</f>
        <v>3</v>
      </c>
      <c r="C7" t="str">
        <f>IF(INDEX(CaProdutos[Item], MATCH(Precificação[[#This Row],[ID]], CaProdutos[ID], 0)) &lt;&gt; "", INDEX(CaProdutos[Item], MATCH(Precificação[[#This Row],[ID]], CaProdutos[ID], 0)), "")</f>
        <v>Chefão</v>
      </c>
      <c r="D7" s="13">
        <f>IF(Precificação[[#This Row],[Item]] &lt;&gt; "", INDEX(CaProdutos[Custo de Produção (1 un.)], MATCH(Precificação[[#This Row],[ID]], CaProdutos[ID], 0)), "")</f>
        <v>9.9055872396804894</v>
      </c>
      <c r="E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24.772936897038143</v>
      </c>
      <c r="F7" s="22">
        <v>25</v>
      </c>
      <c r="G7" s="16">
        <f>IFERROR(Precificação[[#This Row],[Preço Definitivo]] - INDEX(CaProdutos[Custo Total (1 un.)], MATCH(Precificação[[#This Row],[ID]], CaProdutos[ID], 0)), "")</f>
        <v>9.6447080609621878</v>
      </c>
      <c r="H7" s="16">
        <f>IFERROR(Precificação[[#This Row],[Lucro Bruto]] - INDEX(ConfPrec[Rateio de Custos Fixos], 1), "")</f>
        <v>6.8079025054066324</v>
      </c>
      <c r="I7" s="1" t="s">
        <v>33</v>
      </c>
    </row>
    <row r="8" spans="2:12">
      <c r="B8">
        <f>CaProdutos[[#This Row],[ID]]</f>
        <v>8</v>
      </c>
      <c r="C8" t="str">
        <f>IF(INDEX(CaProdutos[Item], MATCH(Precificação[[#This Row],[ID]], CaProdutos[ID], 0)) &lt;&gt; "", INDEX(CaProdutos[Item], MATCH(Precificação[[#This Row],[ID]], CaProdutos[ID], 0)), "")</f>
        <v>Espeto Simples</v>
      </c>
      <c r="D8" s="13">
        <f>IF(Precificação[[#This Row],[Item]] &lt;&gt; "", INDEX(CaProdutos[Custo de Produção (1 un.)], MATCH(Precificação[[#This Row],[ID]], CaProdutos[ID], 0)), "")</f>
        <v>6.773777777777779</v>
      </c>
      <c r="E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15.496340691251286</v>
      </c>
      <c r="F8" s="22">
        <v>8</v>
      </c>
      <c r="G8" s="16">
        <f>IFERROR(Precificação[[#This Row],[Preço Definitivo]] - INDEX(CaProdutos[Custo Total (1 un.)], MATCH(Precificação[[#This Row],[ID]], CaProdutos[ID], 0)), "")</f>
        <v>-2.8474384838758997</v>
      </c>
      <c r="H8" s="16">
        <f>IFERROR(Precificação[[#This Row],[Lucro Bruto]] - INDEX(ConfPrec[Rateio de Custos Fixos], 1), "")</f>
        <v>-5.6842440394314551</v>
      </c>
      <c r="I8" s="1" t="str">
        <f>IF(Precificação[[#This Row],[Item]] &lt;&gt; "", INDEX(ConfPrec[C.F nos custos totais?], 1), "")</f>
        <v>Não</v>
      </c>
    </row>
    <row r="9" spans="2:12">
      <c r="B9">
        <f>CaProdutos[[#This Row],[ID]]</f>
        <v>9</v>
      </c>
      <c r="C9" t="str">
        <f>IF(INDEX(CaProdutos[Item], MATCH(Precificação[[#This Row],[ID]], CaProdutos[ID], 0)) &lt;&gt; "", INDEX(CaProdutos[Item], MATCH(Precificação[[#This Row],[ID]], CaProdutos[ID], 0)), "")</f>
        <v>Espeto Completo</v>
      </c>
      <c r="D9" s="13">
        <f>IF(Precificação[[#This Row],[Item]] &lt;&gt; "", INDEX(CaProdutos[Custo de Produção (1 un.)], MATCH(Precificação[[#This Row],[ID]], CaProdutos[ID], 0)), "")</f>
        <v>6.9804488888888887</v>
      </c>
      <c r="E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15.902454094888759</v>
      </c>
      <c r="F9" s="22"/>
      <c r="G9" s="16">
        <f>IFERROR(Precificação[[#This Row],[Preço Definitivo]] - INDEX(CaProdutos[Custo Total (1 un.)], MATCH(Precificação[[#This Row],[ID]], CaProdutos[ID], 0)), "")</f>
        <v>-11.131717866422131</v>
      </c>
      <c r="H9" s="16">
        <f>IFERROR(Precificação[[#This Row],[Lucro Bruto]] - INDEX(ConfPrec[Rateio de Custos Fixos], 1), "")</f>
        <v>-13.968523421977686</v>
      </c>
      <c r="I9" s="1" t="str">
        <f>IF(Precificação[[#This Row],[Item]] &lt;&gt; "", INDEX(ConfPrec[C.F nos custos totais?], 1), "")</f>
        <v>Não</v>
      </c>
    </row>
    <row r="10" spans="2:12">
      <c r="B10">
        <f>CaProdutos[[#This Row],[ID]]</f>
        <v>10</v>
      </c>
      <c r="C10" t="str">
        <f>IF(INDEX(CaProdutos[Item], MATCH(Precificação[[#This Row],[ID]], CaProdutos[ID], 0)) &lt;&gt; "", INDEX(CaProdutos[Item], MATCH(Precificação[[#This Row],[ID]], CaProdutos[ID], 0)), "")</f>
        <v>Adc. Batata Palha</v>
      </c>
      <c r="D10" s="13">
        <f>IF(Precificação[[#This Row],[Item]] &lt;&gt; "", INDEX(CaProdutos[Custo de Produção (1 un.)], MATCH(Precificação[[#This Row],[ID]], CaProdutos[ID], 0)), "")</f>
        <v>0.37374999999999997</v>
      </c>
      <c r="E1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0.73442719591275296</v>
      </c>
      <c r="F10" s="22"/>
      <c r="G10" s="16">
        <f>IFERROR(Precificação[[#This Row],[Preço Definitivo]] - INDEX(CaProdutos[Custo Total (1 un.)], MATCH(Precificação[[#This Row],[ID]], CaProdutos[ID], 0)), "")</f>
        <v>-0.51409903713892702</v>
      </c>
      <c r="H10" s="16">
        <f>IFERROR(Precificação[[#This Row],[Lucro Bruto]] - INDEX(ConfPrec[Rateio de Custos Fixos], 1), "")</f>
        <v>-3.3509045926944823</v>
      </c>
      <c r="I10" s="1" t="str">
        <f>IF(Precificação[[#This Row],[Item]] &lt;&gt; "", INDEX(ConfPrec[C.F nos custos totais?], 1), "")</f>
        <v>Não</v>
      </c>
    </row>
    <row r="11" spans="2:12">
      <c r="B11">
        <f>CaProdutos[[#This Row],[ID]]</f>
        <v>11</v>
      </c>
      <c r="C11" t="str">
        <f>IF(INDEX(CaProdutos[Item], MATCH(Precificação[[#This Row],[ID]], CaProdutos[ID], 0)) &lt;&gt; "", INDEX(CaProdutos[Item], MATCH(Precificação[[#This Row],[ID]], CaProdutos[ID], 0)), "")</f>
        <v>Adc. Cheddar</v>
      </c>
      <c r="D11" s="13">
        <f>IF(Precificação[[#This Row],[Item]] &lt;&gt; "", INDEX(CaProdutos[Custo de Produção (1 un.)], MATCH(Precificação[[#This Row],[ID]], CaProdutos[ID], 0)), "")</f>
        <v>1.14775</v>
      </c>
      <c r="E1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2.255354686578896</v>
      </c>
      <c r="F11" s="22"/>
      <c r="G11" s="16">
        <f>IFERROR(Precificação[[#This Row],[Preço Definitivo]] - INDEX(CaProdutos[Custo Total (1 un.)], MATCH(Precificação[[#This Row],[ID]], CaProdutos[ID], 0)), "")</f>
        <v>-1.5787482806052271</v>
      </c>
      <c r="H11" s="16">
        <f>IFERROR(Precificação[[#This Row],[Lucro Bruto]] - INDEX(ConfPrec[Rateio de Custos Fixos], 1), "")</f>
        <v>-4.4155538361607825</v>
      </c>
      <c r="I11" s="1" t="str">
        <f>IF(Precificação[[#This Row],[Item]] &lt;&gt; "", INDEX(ConfPrec[C.F nos custos totais?], 1), "")</f>
        <v>Não</v>
      </c>
    </row>
    <row r="12" spans="2:12">
      <c r="B12">
        <f>CaProdutos[[#This Row],[ID]]</f>
        <v>12</v>
      </c>
      <c r="C12" t="str">
        <f>IF(INDEX(CaProdutos[Item], MATCH(Precificação[[#This Row],[ID]], CaProdutos[ID], 0)) &lt;&gt; "", INDEX(CaProdutos[Item], MATCH(Precificação[[#This Row],[ID]], CaProdutos[ID], 0)), "")</f>
        <v>Adc. Mussarela</v>
      </c>
      <c r="D12" s="13">
        <f>IF(Precificação[[#This Row],[Item]] &lt;&gt; "", INDEX(CaProdutos[Custo de Produção (1 un.)], MATCH(Precificação[[#This Row],[ID]], CaProdutos[ID], 0)), "")</f>
        <v>3.3333333333333335</v>
      </c>
      <c r="E1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6.5500753258662483</v>
      </c>
      <c r="F12" s="22">
        <v>12</v>
      </c>
      <c r="G12" s="16">
        <f>IFERROR(Precificação[[#This Row],[Preço Definitivo]] - INDEX(CaProdutos[Custo Total (1 un.)], MATCH(Precificação[[#This Row],[ID]], CaProdutos[ID], 0)), "")</f>
        <v>7.4149472718936265</v>
      </c>
      <c r="H12" s="16">
        <f>IFERROR(Precificação[[#This Row],[Lucro Bruto]] - INDEX(ConfPrec[Rateio de Custos Fixos], 1), "")</f>
        <v>4.5781417163380711</v>
      </c>
      <c r="I12" s="1" t="str">
        <f>IF(Precificação[[#This Row],[Item]] &lt;&gt; "", INDEX(ConfPrec[C.F nos custos totais?], 1), "")</f>
        <v>Não</v>
      </c>
    </row>
    <row r="13" spans="2:12">
      <c r="B13">
        <f>CaProdutos[[#This Row],[ID]]</f>
        <v>13</v>
      </c>
      <c r="C13" t="str">
        <f>IF(INDEX(CaProdutos[Item], MATCH(Precificação[[#This Row],[ID]], CaProdutos[ID], 0)) &lt;&gt; "", INDEX(CaProdutos[Item], MATCH(Precificação[[#This Row],[ID]], CaProdutos[ID], 0)), "")</f>
        <v>Adc. Parmesão</v>
      </c>
      <c r="D13" s="13">
        <f>IF(Precificação[[#This Row],[Item]] &lt;&gt; "", INDEX(CaProdutos[Custo de Produção (1 un.)], MATCH(Precificação[[#This Row],[ID]], CaProdutos[ID], 0)), "")</f>
        <v>7.7750000000000004</v>
      </c>
      <c r="E1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15.278050697583023</v>
      </c>
      <c r="F13" s="22">
        <v>16</v>
      </c>
      <c r="G13" s="16">
        <f>IFERROR(Precificação[[#This Row],[Preço Definitivo]] - INDEX(CaProdutos[Custo Total (1 un.)], MATCH(Precificação[[#This Row],[ID]], CaProdutos[ID], 0)), "")</f>
        <v>5.3053645116918844</v>
      </c>
      <c r="H13" s="16">
        <f>IFERROR(Precificação[[#This Row],[Lucro Bruto]] - INDEX(ConfPrec[Rateio de Custos Fixos], 1), "")</f>
        <v>2.468558956136329</v>
      </c>
      <c r="I13" s="1" t="str">
        <f>IF(Precificação[[#This Row],[Item]] &lt;&gt; "", INDEX(ConfPrec[C.F nos custos totais?], 1), "")</f>
        <v>Não</v>
      </c>
    </row>
    <row r="14" spans="2:12">
      <c r="B14">
        <f>CaProdutos[[#This Row],[ID]]</f>
        <v>14</v>
      </c>
      <c r="C14" t="str">
        <f>IF(INDEX(CaProdutos[Item], MATCH(Precificação[[#This Row],[ID]], CaProdutos[ID], 0)) &lt;&gt; "", INDEX(CaProdutos[Item], MATCH(Precificação[[#This Row],[ID]], CaProdutos[ID], 0)), "")</f>
        <v>Adc. Queijo Ralado</v>
      </c>
      <c r="D14" s="13">
        <f>IF(Precificação[[#This Row],[Item]] &lt;&gt; "", INDEX(CaProdutos[Custo de Produção (1 un.)], MATCH(Precificação[[#This Row],[ID]], CaProdutos[ID], 0)), "")</f>
        <v>2.4950000000000001</v>
      </c>
      <c r="E1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4.902731381410887</v>
      </c>
      <c r="F14" s="22"/>
      <c r="G14" s="16">
        <f>IFERROR(Precificação[[#This Row],[Preço Definitivo]] - INDEX(CaProdutos[Custo Total (1 un.)], MATCH(Precificação[[#This Row],[ID]], CaProdutos[ID], 0)), "")</f>
        <v>-3.4319119669876206</v>
      </c>
      <c r="H14" s="16">
        <f>IFERROR(Precificação[[#This Row],[Lucro Bruto]] - INDEX(ConfPrec[Rateio de Custos Fixos], 1), "")</f>
        <v>-6.2687175225431755</v>
      </c>
      <c r="I14" s="1" t="str">
        <f>IF(Precificação[[#This Row],[Item]] &lt;&gt; "", INDEX(ConfPrec[C.F nos custos totais?], 1), "")</f>
        <v>Não</v>
      </c>
      <c r="L14" t="s">
        <v>135</v>
      </c>
    </row>
    <row r="15" spans="2:12">
      <c r="B15">
        <f>CaProdutos[[#This Row],[ID]]</f>
        <v>15</v>
      </c>
      <c r="C15" t="str">
        <f>IF(INDEX(CaProdutos[Item], MATCH(Precificação[[#This Row],[ID]], CaProdutos[ID], 0)) &lt;&gt; "", INDEX(CaProdutos[Item], MATCH(Precificação[[#This Row],[ID]], CaProdutos[ID], 0)), "")</f>
        <v>Adc. Picles</v>
      </c>
      <c r="D15" s="13">
        <f>IF(Precificação[[#This Row],[Item]] &lt;&gt; "", INDEX(CaProdutos[Custo de Produção (1 un.)], MATCH(Precificação[[#This Row],[ID]], CaProdutos[ID], 0)), "")</f>
        <v>1.165</v>
      </c>
      <c r="E1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2.2892513263902536</v>
      </c>
      <c r="F15" s="22"/>
      <c r="G15" s="16">
        <f>IFERROR(Precificação[[#This Row],[Preço Definitivo]] - INDEX(CaProdutos[Custo Total (1 un.)], MATCH(Precificação[[#This Row],[ID]], CaProdutos[ID], 0)), "")</f>
        <v>-1.6024759284731775</v>
      </c>
      <c r="H15" s="16">
        <f>IFERROR(Precificação[[#This Row],[Lucro Bruto]] - INDEX(ConfPrec[Rateio de Custos Fixos], 1), "")</f>
        <v>-4.4392814840287329</v>
      </c>
      <c r="I15" s="1" t="str">
        <f>IF(Precificação[[#This Row],[Item]] &lt;&gt; "", INDEX(ConfPrec[C.F nos custos totais?], 1), "")</f>
        <v>Não</v>
      </c>
    </row>
    <row r="16" spans="2:12">
      <c r="B16">
        <f>CaProdutos[[#This Row],[ID]]</f>
        <v>16</v>
      </c>
      <c r="C16" t="str">
        <f>IF(INDEX(CaProdutos[Item], MATCH(Precificação[[#This Row],[ID]], CaProdutos[ID], 0)) &lt;&gt; "", INDEX(CaProdutos[Item], MATCH(Precificação[[#This Row],[ID]], CaProdutos[ID], 0)), "")</f>
        <v>Adc. Requeijão Cremoso</v>
      </c>
      <c r="D16" s="13">
        <f>IF(Precificação[[#This Row],[Item]] &lt;&gt; "", INDEX(CaProdutos[Custo de Produção (1 un.)], MATCH(Precificação[[#This Row],[ID]], CaProdutos[ID], 0)), "")</f>
        <v>0</v>
      </c>
      <c r="E1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6" s="22"/>
      <c r="G16" s="16">
        <f>IFERROR(Precificação[[#This Row],[Preço Definitivo]] - INDEX(CaProdutos[Custo Total (1 un.)], MATCH(Precificação[[#This Row],[ID]], CaProdutos[ID], 0)), "")</f>
        <v>0</v>
      </c>
      <c r="H16" s="16">
        <f>IFERROR(Precificação[[#This Row],[Lucro Bruto]] - INDEX(ConfPrec[Rateio de Custos Fixos], 1), "")</f>
        <v>-2.8368055555555554</v>
      </c>
      <c r="I16" s="1" t="str">
        <f>IF(Precificação[[#This Row],[Item]] &lt;&gt; "", INDEX(ConfPrec[C.F nos custos totais?], 1), "")</f>
        <v>Não</v>
      </c>
    </row>
    <row r="17" spans="2:9">
      <c r="B17">
        <f>CaProdutos[[#This Row],[ID]]</f>
        <v>17</v>
      </c>
      <c r="C17" t="str">
        <f>IF(INDEX(CaProdutos[Item], MATCH(Precificação[[#This Row],[ID]], CaProdutos[ID], 0)) &lt;&gt; "", INDEX(CaProdutos[Item], MATCH(Precificação[[#This Row],[ID]], CaProdutos[ID], 0)), "")</f>
        <v>Adc. Maionese de Bacon</v>
      </c>
      <c r="D17" s="13">
        <f>IF(Precificação[[#This Row],[Item]] &lt;&gt; "", INDEX(CaProdutos[Custo de Produção (1 un.)], MATCH(Precificação[[#This Row],[ID]], CaProdutos[ID], 0)), "")</f>
        <v>0</v>
      </c>
      <c r="E1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7" s="22"/>
      <c r="G17" s="16">
        <f>IFERROR(Precificação[[#This Row],[Preço Definitivo]] - INDEX(CaProdutos[Custo Total (1 un.)], MATCH(Precificação[[#This Row],[ID]], CaProdutos[ID], 0)), "")</f>
        <v>0</v>
      </c>
      <c r="H17" s="16">
        <f>IFERROR(Precificação[[#This Row],[Lucro Bruto]] - INDEX(ConfPrec[Rateio de Custos Fixos], 1), "")</f>
        <v>-2.8368055555555554</v>
      </c>
      <c r="I17" s="1" t="str">
        <f>IF(Precificação[[#This Row],[Item]] &lt;&gt; "", INDEX(ConfPrec[C.F nos custos totais?], 1), "")</f>
        <v>Não</v>
      </c>
    </row>
    <row r="18" spans="2:9">
      <c r="B18">
        <f>CaProdutos[[#This Row],[ID]]</f>
        <v>18</v>
      </c>
      <c r="C18" t="str">
        <f>IF(INDEX(CaProdutos[Item], MATCH(Precificação[[#This Row],[ID]], CaProdutos[ID], 0)) &lt;&gt; "", INDEX(CaProdutos[Item], MATCH(Precificação[[#This Row],[ID]], CaProdutos[ID], 0)), "")</f>
        <v>Adc. Espeto Bovino</v>
      </c>
      <c r="D18" s="13">
        <f>IF(Precificação[[#This Row],[Item]] &lt;&gt; "", INDEX(CaProdutos[Custo de Produção (1 un.)], MATCH(Precificação[[#This Row],[ID]], CaProdutos[ID], 0)), "")</f>
        <v>4.4000000000000004</v>
      </c>
      <c r="E1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8.6460994301434475</v>
      </c>
      <c r="F18" s="22"/>
      <c r="G18" s="16">
        <f>IFERROR(Precificação[[#This Row],[Preço Definitivo]] - INDEX(CaProdutos[Custo Total (1 un.)], MATCH(Precificação[[#This Row],[ID]], CaProdutos[ID], 0)), "")</f>
        <v>-6.0522696011004129</v>
      </c>
      <c r="H18" s="16">
        <f>IFERROR(Precificação[[#This Row],[Lucro Bruto]] - INDEX(ConfPrec[Rateio de Custos Fixos], 1), "")</f>
        <v>-8.8890751566559683</v>
      </c>
      <c r="I18" s="1" t="str">
        <f>IF(Precificação[[#This Row],[Item]] &lt;&gt; "", INDEX(ConfPrec[C.F nos custos totais?], 1), "")</f>
        <v>Não</v>
      </c>
    </row>
    <row r="19" spans="2:9">
      <c r="B19">
        <f>CaProdutos[[#This Row],[ID]]</f>
        <v>23</v>
      </c>
      <c r="C19" t="str">
        <f>IF(INDEX(CaProdutos[Item], MATCH(Precificação[[#This Row],[ID]], CaProdutos[ID], 0)) &lt;&gt; "", INDEX(CaProdutos[Item], MATCH(Precificação[[#This Row],[ID]], CaProdutos[ID], 0)), "")</f>
        <v xml:space="preserve">Adc. Espeto Medalhão de Frango </v>
      </c>
      <c r="D19" s="13">
        <f>IF(Precificação[[#This Row],[Item]] &lt;&gt; "", INDEX(CaProdutos[Custo de Produção (1 un.)], MATCH(Precificação[[#This Row],[ID]], CaProdutos[ID], 0)), "")</f>
        <v>8.125</v>
      </c>
      <c r="E1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15.96580860679898</v>
      </c>
      <c r="F19" s="22"/>
      <c r="G19" s="16">
        <f>IFERROR(Precificação[[#This Row],[Preço Definitivo]] - INDEX(CaProdutos[Custo Total (1 un.)], MATCH(Precificação[[#This Row],[ID]], CaProdutos[ID], 0)), "")</f>
        <v>-11.176066024759285</v>
      </c>
      <c r="H19" s="16">
        <f>IFERROR(Precificação[[#This Row],[Lucro Bruto]] - INDEX(ConfPrec[Rateio de Custos Fixos], 1), "")</f>
        <v>-14.01287158031484</v>
      </c>
      <c r="I19" s="1" t="str">
        <f>IF(Precificação[[#This Row],[Item]] &lt;&gt; "", INDEX(ConfPrec[C.F nos custos totais?], 1), "")</f>
        <v>Não</v>
      </c>
    </row>
    <row r="20" spans="2:9">
      <c r="B20">
        <f>CaProdutos[[#This Row],[ID]]</f>
        <v>24</v>
      </c>
      <c r="C20" t="str">
        <f>IF(INDEX(CaProdutos[Item], MATCH(Precificação[[#This Row],[ID]], CaProdutos[ID], 0)) &lt;&gt; "", INDEX(CaProdutos[Item], MATCH(Precificação[[#This Row],[ID]], CaProdutos[ID], 0)), "")</f>
        <v>Adc. Espeto de Frango</v>
      </c>
      <c r="D20" s="13">
        <f>IF(Precificação[[#This Row],[Item]] &lt;&gt; "", INDEX(CaProdutos[Custo de Produção (1 un.)], MATCH(Precificação[[#This Row],[ID]], CaProdutos[ID], 0)), "")</f>
        <v>3.8000000000000003</v>
      </c>
      <c r="E2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7.467085871487523</v>
      </c>
      <c r="F20" s="22"/>
      <c r="G20" s="16">
        <f>IFERROR(Precificação[[#This Row],[Preço Definitivo]] - INDEX(CaProdutos[Custo Total (1 un.)], MATCH(Precificação[[#This Row],[ID]], CaProdutos[ID], 0)), "")</f>
        <v>-5.2269601100412659</v>
      </c>
      <c r="H20" s="16">
        <f>IFERROR(Precificação[[#This Row],[Lucro Bruto]] - INDEX(ConfPrec[Rateio de Custos Fixos], 1), "")</f>
        <v>-8.0637656655968222</v>
      </c>
      <c r="I20" s="1" t="str">
        <f>IF(Precificação[[#This Row],[Item]] &lt;&gt; "", INDEX(ConfPrec[C.F nos custos totais?], 1), "")</f>
        <v>Não</v>
      </c>
    </row>
    <row r="21" spans="2:9">
      <c r="B21">
        <f>CaProdutos[[#This Row],[ID]]</f>
        <v>25</v>
      </c>
      <c r="C21" t="str">
        <f>IF(INDEX(CaProdutos[Item], MATCH(Precificação[[#This Row],[ID]], CaProdutos[ID], 0)) &lt;&gt; "", INDEX(CaProdutos[Item], MATCH(Precificação[[#This Row],[ID]], CaProdutos[ID], 0)), "")</f>
        <v>Adc. Espeto Linguiça</v>
      </c>
      <c r="D21" s="13">
        <f>IF(Precificação[[#This Row],[Item]] &lt;&gt; "", INDEX(CaProdutos[Custo de Produção (1 un.)], MATCH(Precificação[[#This Row],[ID]], CaProdutos[ID], 0)), "")</f>
        <v>3.8</v>
      </c>
      <c r="E2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7.4670858714875221</v>
      </c>
      <c r="F21" s="22"/>
      <c r="G21" s="16">
        <f>IFERROR(Precificação[[#This Row],[Preço Definitivo]] - INDEX(CaProdutos[Custo Total (1 un.)], MATCH(Precificação[[#This Row],[ID]], CaProdutos[ID], 0)), "")</f>
        <v>-5.226960110041265</v>
      </c>
      <c r="H21" s="16">
        <f>IFERROR(Precificação[[#This Row],[Lucro Bruto]] - INDEX(ConfPrec[Rateio de Custos Fixos], 1), "")</f>
        <v>-8.0637656655968204</v>
      </c>
      <c r="I21" s="1" t="s">
        <v>114</v>
      </c>
    </row>
    <row r="22" spans="2:9">
      <c r="B22">
        <f>CaProdutos[[#This Row],[ID]]</f>
        <v>28</v>
      </c>
      <c r="C22" t="str">
        <f>IF(INDEX(CaProdutos[Item], MATCH(Precificação[[#This Row],[ID]], CaProdutos[ID], 0)) &lt;&gt; "", INDEX(CaProdutos[Item], MATCH(Precificação[[#This Row],[ID]], CaProdutos[ID], 0)), "")</f>
        <v>Adc. Espeto de Queijo Coalho</v>
      </c>
      <c r="D22" s="13">
        <f>IF(Precificação[[#This Row],[Item]] &lt;&gt; "", INDEX(CaProdutos[Custo de Produção (1 un.)], MATCH(Precificação[[#This Row],[ID]], CaProdutos[ID], 0)), "")</f>
        <v>5.5</v>
      </c>
      <c r="E2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10.80762428767931</v>
      </c>
      <c r="F22" s="22"/>
      <c r="G22" s="16">
        <f>IFERROR(Precificação[[#This Row],[Preço Definitivo]] - INDEX(CaProdutos[Custo Total (1 un.)], MATCH(Precificação[[#This Row],[ID]], CaProdutos[ID], 0)), "")</f>
        <v>-7.5653370013755161</v>
      </c>
      <c r="H22" s="16">
        <f>IFERROR(Precificação[[#This Row],[Lucro Bruto]] - INDEX(ConfPrec[Rateio de Custos Fixos], 1), "")</f>
        <v>-10.402142556931071</v>
      </c>
      <c r="I22" s="1" t="s">
        <v>114</v>
      </c>
    </row>
    <row r="23" spans="2:9">
      <c r="B23">
        <f>CaProdutos[[#This Row],[ID]]</f>
        <v>29</v>
      </c>
      <c r="C23" t="str">
        <f>IF(INDEX(CaProdutos[Item], MATCH(Precificação[[#This Row],[ID]], CaProdutos[ID], 0)) &lt;&gt; "", INDEX(CaProdutos[Item], MATCH(Precificação[[#This Row],[ID]], CaProdutos[ID], 0)), "")</f>
        <v>Adc. Espeto de Medalhão de Queijo</v>
      </c>
      <c r="D23" s="13">
        <f>IF(Precificação[[#This Row],[Item]] &lt;&gt; "", INDEX(CaProdutos[Custo de Produção (1 un.)], MATCH(Precificação[[#This Row],[ID]], CaProdutos[ID], 0)), "")</f>
        <v>12</v>
      </c>
      <c r="E2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23.58027117311849</v>
      </c>
      <c r="F23" s="22">
        <v>1</v>
      </c>
      <c r="G23" s="16">
        <f>IFERROR(Precificação[[#This Row],[Preço Definitivo]] - INDEX(CaProdutos[Custo Total (1 un.)], MATCH(Precificação[[#This Row],[ID]], CaProdutos[ID], 0)), "")</f>
        <v>-15.506189821182943</v>
      </c>
      <c r="H23" s="16">
        <f>IFERROR(Precificação[[#This Row],[Lucro Bruto]] - INDEX(ConfPrec[Rateio de Custos Fixos], 1), "")</f>
        <v>-18.3429953767385</v>
      </c>
      <c r="I23" s="1" t="s">
        <v>114</v>
      </c>
    </row>
    <row r="24" spans="2:9">
      <c r="B24">
        <f>CaProdutos[[#This Row],[ID]]</f>
        <v>31</v>
      </c>
      <c r="C24" t="str">
        <f>IF(INDEX(CaProdutos[Item], MATCH(Precificação[[#This Row],[ID]], CaProdutos[ID], 0)) &lt;&gt; "", INDEX(CaProdutos[Item], MATCH(Precificação[[#This Row],[ID]], CaProdutos[ID], 0)), "")</f>
        <v>Adc. Azeitona Preta</v>
      </c>
      <c r="D24" s="13">
        <f>IF(Precificação[[#This Row],[Item]] &lt;&gt; "", INDEX(CaProdutos[Custo de Produção (1 un.)], MATCH(Precificação[[#This Row],[ID]], CaProdutos[ID], 0)), "")</f>
        <v>1.9565217391304348</v>
      </c>
      <c r="E2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3.8446094303997547</v>
      </c>
      <c r="F24" s="22">
        <v>6</v>
      </c>
      <c r="G24" s="16">
        <f>IFERROR(Precificação[[#This Row],[Preço Definitivo]] - INDEX(CaProdutos[Custo Total (1 un.)], MATCH(Precificação[[#This Row],[ID]], CaProdutos[ID], 0)), "")</f>
        <v>3.308773398720172</v>
      </c>
      <c r="H24" s="16">
        <f>IFERROR(Precificação[[#This Row],[Lucro Bruto]] - INDEX(ConfPrec[Rateio de Custos Fixos], 1), "")</f>
        <v>0.4719678431646166</v>
      </c>
      <c r="I24" s="1" t="s">
        <v>114</v>
      </c>
    </row>
    <row r="25" spans="2:9">
      <c r="B25">
        <f>CaProdutos[[#This Row],[ID]]</f>
        <v>19</v>
      </c>
      <c r="C25" t="str">
        <f>IF(INDEX(CaProdutos[Item], MATCH(Precificação[[#This Row],[ID]], CaProdutos[ID], 0)) &lt;&gt; "", INDEX(CaProdutos[Item], MATCH(Precificação[[#This Row],[ID]], CaProdutos[ID], 0)), "")</f>
        <v>Porç. Vinagrete</v>
      </c>
      <c r="D25" s="13">
        <f>IF(Precificação[[#This Row],[Item]] &lt;&gt; "", INDEX(CaProdutos[Custo de Produção (1 un.)], MATCH(Precificação[[#This Row],[ID]], CaProdutos[ID], 0)), "")</f>
        <v>0.20667111111111111</v>
      </c>
      <c r="E2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0.40611340363747522</v>
      </c>
      <c r="F25" s="22">
        <v>5</v>
      </c>
      <c r="G25" s="16">
        <f>IFERROR(Precificação[[#This Row],[Preço Definitivo]] - INDEX(CaProdutos[Custo Total (1 un.)], MATCH(Precificação[[#This Row],[ID]], CaProdutos[ID], 0)), "")</f>
        <v>4.7157206174537674</v>
      </c>
      <c r="H25" s="16">
        <f>IFERROR(Precificação[[#This Row],[Lucro Bruto]] - INDEX(ConfPrec[Rateio de Custos Fixos], 1), "")</f>
        <v>1.878915061898212</v>
      </c>
      <c r="I25" s="1" t="s">
        <v>114</v>
      </c>
    </row>
    <row r="26" spans="2:9">
      <c r="B26">
        <f>CaProdutos[[#This Row],[ID]]</f>
        <v>20</v>
      </c>
      <c r="C26" t="str">
        <f>IF(INDEX(CaProdutos[Item], MATCH(Precificação[[#This Row],[ID]], CaProdutos[ID], 0)) &lt;&gt; "", INDEX(CaProdutos[Item], MATCH(Precificação[[#This Row],[ID]], CaProdutos[ID], 0)), "")</f>
        <v>Porç. Arroz</v>
      </c>
      <c r="D26" s="13">
        <f>IF(Precificação[[#This Row],[Item]] &lt;&gt; "", INDEX(CaProdutos[Custo de Produção (1 un.)], MATCH(Precificação[[#This Row],[ID]], CaProdutos[ID], 0)), "")</f>
        <v>0.30202777777777778</v>
      </c>
      <c r="E2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0.59349140848453097</v>
      </c>
      <c r="F26" s="22">
        <v>3</v>
      </c>
      <c r="G26" s="16">
        <f>IFERROR(Precificação[[#This Row],[Preço Definitivo]] - INDEX(CaProdutos[Custo Total (1 un.)], MATCH(Precificação[[#This Row],[ID]], CaProdutos[ID], 0)), "")</f>
        <v>2.5845560140608281</v>
      </c>
      <c r="H26" s="16">
        <f>IFERROR(Precificação[[#This Row],[Lucro Bruto]] - INDEX(ConfPrec[Rateio de Custos Fixos], 1), "")</f>
        <v>-0.25224954149472723</v>
      </c>
      <c r="I26" s="1" t="s">
        <v>114</v>
      </c>
    </row>
    <row r="27" spans="2:9">
      <c r="B27">
        <f>CaProdutos[[#This Row],[ID]]</f>
        <v>21</v>
      </c>
      <c r="C27" t="str">
        <f>IF(INDEX(CaProdutos[Item], MATCH(Precificação[[#This Row],[ID]], CaProdutos[ID], 0)) &lt;&gt; "", INDEX(CaProdutos[Item], MATCH(Precificação[[#This Row],[ID]], CaProdutos[ID], 0)), "")</f>
        <v>Porç. Mandioca</v>
      </c>
      <c r="D27" s="13">
        <f>IF(Precificação[[#This Row],[Item]] &lt;&gt; "", INDEX(CaProdutos[Custo de Produção (1 un.)], MATCH(Precificação[[#This Row],[ID]], CaProdutos[ID], 0)), "")</f>
        <v>1.37375</v>
      </c>
      <c r="E2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2.6994497936726276</v>
      </c>
      <c r="F27" s="22"/>
      <c r="G27" s="16">
        <f>IFERROR(Precificação[[#This Row],[Preço Definitivo]] - INDEX(CaProdutos[Custo Total (1 un.)], MATCH(Precificação[[#This Row],[ID]], CaProdutos[ID], 0)), "")</f>
        <v>-1.8896148555708392</v>
      </c>
      <c r="H27" s="16">
        <f>IFERROR(Precificação[[#This Row],[Lucro Bruto]] - INDEX(ConfPrec[Rateio de Custos Fixos], 1), "")</f>
        <v>-4.7264204111263943</v>
      </c>
      <c r="I27" s="1" t="s">
        <v>114</v>
      </c>
    </row>
    <row r="28" spans="2:9">
      <c r="B28">
        <f>CaProdutos[[#This Row],[ID]]</f>
        <v>22</v>
      </c>
      <c r="C28" t="str">
        <f>IF(INDEX(CaProdutos[Item], MATCH(Precificação[[#This Row],[ID]], CaProdutos[ID], 0)) &lt;&gt; "", INDEX(CaProdutos[Item], MATCH(Precificação[[#This Row],[ID]], CaProdutos[ID], 0)), "")</f>
        <v>Porç. Farofa</v>
      </c>
      <c r="D28" s="13">
        <f>IF(Precificação[[#This Row],[Item]] &lt;&gt; "", INDEX(CaProdutos[Custo de Produção (1 un.)], MATCH(Precificação[[#This Row],[ID]], CaProdutos[ID], 0)), "")</f>
        <v>0.69799999999999995</v>
      </c>
      <c r="E2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1.3715857732363923</v>
      </c>
      <c r="F28" s="22"/>
      <c r="G28" s="16">
        <f>IFERROR(Precificação[[#This Row],[Preço Definitivo]] - INDEX(CaProdutos[Custo Total (1 un.)], MATCH(Precificação[[#This Row],[ID]], CaProdutos[ID], 0)), "")</f>
        <v>-0.9601100412654745</v>
      </c>
      <c r="H28" s="16">
        <f>IFERROR(Precificação[[#This Row],[Lucro Bruto]] - INDEX(ConfPrec[Rateio de Custos Fixos], 1), "")</f>
        <v>-3.7969155968210297</v>
      </c>
      <c r="I28" s="1" t="s">
        <v>114</v>
      </c>
    </row>
    <row r="29" spans="2:9">
      <c r="B29">
        <f>CaProdutos[[#This Row],[ID]]</f>
        <v>30</v>
      </c>
      <c r="C29" t="str">
        <f>IF(INDEX(CaProdutos[Item], MATCH(Precificação[[#This Row],[ID]], CaProdutos[ID], 0)) &lt;&gt; "", INDEX(CaProdutos[Item], MATCH(Precificação[[#This Row],[ID]], CaProdutos[ID], 0)), "")</f>
        <v>Suco de Cupuaçú 500ML</v>
      </c>
      <c r="D29" s="13">
        <f>IF(Precificação[[#This Row],[Item]] &lt;&gt; "", INDEX(CaProdutos[Custo de Produção (1 un.)], MATCH(Precificação[[#This Row],[ID]], CaProdutos[ID], 0)), "")</f>
        <v>0</v>
      </c>
      <c r="E2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29" s="22"/>
      <c r="G29" s="16">
        <f>IFERROR(Precificação[[#This Row],[Preço Definitivo]] - INDEX(CaProdutos[Custo Total (1 un.)], MATCH(Precificação[[#This Row],[ID]], CaProdutos[ID], 0)), "")</f>
        <v>0</v>
      </c>
      <c r="H29" s="16">
        <f>IFERROR(Precificação[[#This Row],[Lucro Bruto]] - INDEX(ConfPrec[Rateio de Custos Fixos], 1), "")</f>
        <v>-2.8368055555555554</v>
      </c>
      <c r="I29" s="1" t="s">
        <v>114</v>
      </c>
    </row>
    <row r="30" spans="2:9">
      <c r="B30">
        <f>CaProdutos[[#This Row],[ID]]</f>
        <v>0</v>
      </c>
      <c r="C30" t="e">
        <f>IF(INDEX(CaProdutos[Item], MATCH(Precificação[[#This Row],[ID]], CaProdutos[ID], 0)) &lt;&gt; "", INDEX(CaProdutos[Item], MATCH(Precificação[[#This Row],[ID]], CaProdutos[ID], 0)), "")</f>
        <v>#N/A</v>
      </c>
      <c r="D30" s="13" t="e">
        <f>IF(Precificação[[#This Row],[Item]] &lt;&gt; "", INDEX(CaProdutos[Custo de Produção (1 un.)], MATCH(Precificação[[#This Row],[ID]], CaProdutos[ID], 0)), "")</f>
        <v>#N/A</v>
      </c>
      <c r="E3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0" s="22"/>
      <c r="G30" s="16" t="str">
        <f>IFERROR(Precificação[[#This Row],[Preço Definitivo]] - INDEX(CaProdutos[Custo Total (1 un.)], MATCH(Precificação[[#This Row],[ID]], CaProdutos[ID], 0)), "")</f>
        <v/>
      </c>
      <c r="H30" s="16" t="str">
        <f>IFERROR(Precificação[[#This Row],[Lucro Bruto]] - INDEX(ConfPrec[Rateio de Custos Fixos], 1), "")</f>
        <v/>
      </c>
      <c r="I30" s="1" t="s">
        <v>114</v>
      </c>
    </row>
    <row r="31" spans="2:9">
      <c r="B31">
        <f>CaProdutos[[#This Row],[ID]]</f>
        <v>0</v>
      </c>
      <c r="C31" t="e">
        <f>IF(INDEX(CaProdutos[Item], MATCH(Precificação[[#This Row],[ID]], CaProdutos[ID], 0)) &lt;&gt; "", INDEX(CaProdutos[Item], MATCH(Precificação[[#This Row],[ID]], CaProdutos[ID], 0)), "")</f>
        <v>#N/A</v>
      </c>
      <c r="D31" s="13" t="e">
        <f>IF(Precificação[[#This Row],[Item]] &lt;&gt; "", INDEX(CaProdutos[Custo de Produção (1 un.)], MATCH(Precificação[[#This Row],[ID]], CaProdutos[ID], 0)), "")</f>
        <v>#N/A</v>
      </c>
      <c r="E3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1" s="22"/>
      <c r="G31" s="16" t="str">
        <f>IFERROR(Precificação[[#This Row],[Preço Definitivo]] - INDEX(CaProdutos[Custo Total (1 un.)], MATCH(Precificação[[#This Row],[ID]], CaProdutos[ID], 0)), "")</f>
        <v/>
      </c>
      <c r="H31" s="16" t="str">
        <f>IFERROR(Precificação[[#This Row],[Lucro Bruto]] - INDEX(ConfPrec[Rateio de Custos Fixos], 1), "")</f>
        <v/>
      </c>
      <c r="I31" s="1" t="e">
        <f>IF(Precificação[[#This Row],[Item]] &lt;&gt; "", INDEX(ConfPrec[C.F nos custos totais?], 1), "")</f>
        <v>#N/A</v>
      </c>
    </row>
    <row r="32" spans="2:9">
      <c r="B32">
        <f>CaProdutos[[#This Row],[ID]]</f>
        <v>0</v>
      </c>
      <c r="C32" t="e">
        <f>IF(INDEX(CaProdutos[Item], MATCH(Precificação[[#This Row],[ID]], CaProdutos[ID], 0)) &lt;&gt; "", INDEX(CaProdutos[Item], MATCH(Precificação[[#This Row],[ID]], CaProdutos[ID], 0)), "")</f>
        <v>#N/A</v>
      </c>
      <c r="D32" s="13" t="e">
        <f>IF(Precificação[[#This Row],[Item]] &lt;&gt; "", INDEX(CaProdutos[Custo de Produção (1 un.)], MATCH(Precificação[[#This Row],[ID]], CaProdutos[ID], 0)), "")</f>
        <v>#N/A</v>
      </c>
      <c r="E32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2" s="22"/>
      <c r="G32" s="16" t="str">
        <f>IFERROR(Precificação[[#This Row],[Preço Definitivo]] - INDEX(CaProdutos[Custo Total (1 un.)], MATCH(Precificação[[#This Row],[ID]], CaProdutos[ID], 0)), "")</f>
        <v/>
      </c>
      <c r="H32" s="16" t="str">
        <f>IFERROR(Precificação[[#This Row],[Lucro Bruto]] - INDEX(ConfPrec[Rateio de Custos Fixos], 1), "")</f>
        <v/>
      </c>
      <c r="I32" s="1" t="s">
        <v>33</v>
      </c>
    </row>
    <row r="33" spans="2:9">
      <c r="B33">
        <f>CaProdutos[[#This Row],[ID]]</f>
        <v>0</v>
      </c>
      <c r="C33" t="e">
        <f>IF(INDEX(CaProdutos[Item], MATCH(Precificação[[#This Row],[ID]], CaProdutos[ID], 0)) &lt;&gt; "", INDEX(CaProdutos[Item], MATCH(Precificação[[#This Row],[ID]], CaProdutos[ID], 0)), "")</f>
        <v>#N/A</v>
      </c>
      <c r="D33" s="13" t="e">
        <f>IF(Precificação[[#This Row],[Item]] &lt;&gt; "", INDEX(CaProdutos[Custo de Produção (1 un.)], MATCH(Precificação[[#This Row],[ID]], CaProdutos[ID], 0)), "")</f>
        <v>#N/A</v>
      </c>
      <c r="E33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3" s="22"/>
      <c r="G33" s="16" t="str">
        <f>IFERROR(Precificação[[#This Row],[Preço Definitivo]] - INDEX(CaProdutos[Custo Total (1 un.)], MATCH(Precificação[[#This Row],[ID]], CaProdutos[ID], 0)), "")</f>
        <v/>
      </c>
      <c r="H33" s="16" t="str">
        <f>IFERROR(Precificação[[#This Row],[Lucro Bruto]] - INDEX(ConfPrec[Rateio de Custos Fixos], 1), "")</f>
        <v/>
      </c>
      <c r="I33" s="1" t="e">
        <f>IF(Precificação[[#This Row],[Item]] &lt;&gt; "", INDEX(ConfPrec[C.F nos custos totais?], 1), "")</f>
        <v>#N/A</v>
      </c>
    </row>
    <row r="34" spans="2:9">
      <c r="B34">
        <f>CaProdutos[[#This Row],[ID]]</f>
        <v>0</v>
      </c>
      <c r="C34" t="e">
        <f>IF(INDEX(CaProdutos[Item], MATCH(Precificação[[#This Row],[ID]], CaProdutos[ID], 0)) &lt;&gt; "", INDEX(CaProdutos[Item], MATCH(Precificação[[#This Row],[ID]], CaProdutos[ID], 0)), "")</f>
        <v>#N/A</v>
      </c>
      <c r="D34" s="13" t="e">
        <f>IF(Precificação[[#This Row],[Item]] &lt;&gt; "", INDEX(CaProdutos[Custo de Produção (1 un.)], MATCH(Precificação[[#This Row],[ID]], CaProdutos[ID], 0)), "")</f>
        <v>#N/A</v>
      </c>
      <c r="E34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4" s="22"/>
      <c r="G34" s="16" t="str">
        <f>IFERROR(Precificação[[#This Row],[Preço Definitivo]] - INDEX(CaProdutos[Custo Total (1 un.)], MATCH(Precificação[[#This Row],[ID]], CaProdutos[ID], 0)), "")</f>
        <v/>
      </c>
      <c r="H34" s="16" t="str">
        <f>IFERROR(Precificação[[#This Row],[Lucro Bruto]] - INDEX(ConfPrec[Rateio de Custos Fixos], 1), "")</f>
        <v/>
      </c>
      <c r="I34" s="1" t="e">
        <f>IF(Precificação[[#This Row],[Item]] &lt;&gt; "", INDEX(ConfPrec[C.F nos custos totais?], 1), "")</f>
        <v>#N/A</v>
      </c>
    </row>
    <row r="35" spans="2:9">
      <c r="B35">
        <f>CaProdutos[[#This Row],[ID]]</f>
        <v>0</v>
      </c>
      <c r="C35" t="e">
        <f>IF(INDEX(CaProdutos[Item], MATCH(Precificação[[#This Row],[ID]], CaProdutos[ID], 0)) &lt;&gt; "", INDEX(CaProdutos[Item], MATCH(Precificação[[#This Row],[ID]], CaProdutos[ID], 0)), "")</f>
        <v>#N/A</v>
      </c>
      <c r="D35" s="13" t="e">
        <f>IF(Precificação[[#This Row],[Item]] &lt;&gt; "", INDEX(CaProdutos[Custo de Produção (1 un.)], MATCH(Precificação[[#This Row],[ID]], CaProdutos[ID], 0)), "")</f>
        <v>#N/A</v>
      </c>
      <c r="E35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5" s="22"/>
      <c r="G35" s="16" t="str">
        <f>IFERROR(Precificação[[#This Row],[Preço Definitivo]] - INDEX(CaProdutos[Custo Total (1 un.)], MATCH(Precificação[[#This Row],[ID]], CaProdutos[ID], 0)), "")</f>
        <v/>
      </c>
      <c r="H35" s="16" t="str">
        <f>IFERROR(Precificação[[#This Row],[Lucro Bruto]] - INDEX(ConfPrec[Rateio de Custos Fixos], 1), "")</f>
        <v/>
      </c>
      <c r="I35" s="1" t="e">
        <f>IF(Precificação[[#This Row],[Item]] &lt;&gt; "", INDEX(ConfPrec[C.F nos custos totais?], 1), "")</f>
        <v>#N/A</v>
      </c>
    </row>
    <row r="36" spans="2:9">
      <c r="B36">
        <f>CaProdutos[[#This Row],[ID]]</f>
        <v>0</v>
      </c>
      <c r="C36" t="e">
        <f>IF(INDEX(CaProdutos[Item], MATCH(Precificação[[#This Row],[ID]], CaProdutos[ID], 0)) &lt;&gt; "", INDEX(CaProdutos[Item], MATCH(Precificação[[#This Row],[ID]], CaProdutos[ID], 0)), "")</f>
        <v>#N/A</v>
      </c>
      <c r="D36" s="13" t="e">
        <f>IF(Precificação[[#This Row],[Item]] &lt;&gt; "", INDEX(CaProdutos[Custo de Produção (1 un.)], MATCH(Precificação[[#This Row],[ID]], CaProdutos[ID], 0)), "")</f>
        <v>#N/A</v>
      </c>
      <c r="E36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6" s="22"/>
      <c r="G36" s="16" t="str">
        <f>IFERROR(Precificação[[#This Row],[Preço Definitivo]] - INDEX(CaProdutos[Custo Total (1 un.)], MATCH(Precificação[[#This Row],[ID]], CaProdutos[ID], 0)), "")</f>
        <v/>
      </c>
      <c r="H36" s="16" t="str">
        <f>IFERROR(Precificação[[#This Row],[Lucro Bruto]] - INDEX(ConfPrec[Rateio de Custos Fixos], 1), "")</f>
        <v/>
      </c>
      <c r="I36" s="1" t="e">
        <f>IF(Precificação[[#This Row],[Item]] &lt;&gt; "", INDEX(ConfPrec[C.F nos custos totais?], 1), "")</f>
        <v>#N/A</v>
      </c>
    </row>
    <row r="37" spans="2:9">
      <c r="B37">
        <f>CaProdutos[[#This Row],[ID]]</f>
        <v>0</v>
      </c>
      <c r="C37" t="e">
        <f>IF(INDEX(CaProdutos[Item], MATCH(Precificação[[#This Row],[ID]], CaProdutos[ID], 0)) &lt;&gt; "", INDEX(CaProdutos[Item], MATCH(Precificação[[#This Row],[ID]], CaProdutos[ID], 0)), "")</f>
        <v>#N/A</v>
      </c>
      <c r="D37" s="13" t="e">
        <f>IF(Precificação[[#This Row],[Item]] &lt;&gt; "", INDEX(CaProdutos[Custo de Produção (1 un.)], MATCH(Precificação[[#This Row],[ID]], CaProdutos[ID], 0)), "")</f>
        <v>#N/A</v>
      </c>
      <c r="E37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7" s="22"/>
      <c r="G37" s="16" t="str">
        <f>IFERROR(Precificação[[#This Row],[Preço Definitivo]] - INDEX(CaProdutos[Custo Total (1 un.)], MATCH(Precificação[[#This Row],[ID]], CaProdutos[ID], 0)), "")</f>
        <v/>
      </c>
      <c r="H37" s="16" t="str">
        <f>IFERROR(Precificação[[#This Row],[Lucro Bruto]] - INDEX(ConfPrec[Rateio de Custos Fixos], 1), "")</f>
        <v/>
      </c>
      <c r="I37" s="1" t="e">
        <f>IF(Precificação[[#This Row],[Item]] &lt;&gt; "", INDEX(ConfPrec[C.F nos custos totais?], 1), "")</f>
        <v>#N/A</v>
      </c>
    </row>
    <row r="38" spans="2:9">
      <c r="B38">
        <f>CaProdutos[[#This Row],[ID]]</f>
        <v>0</v>
      </c>
      <c r="C38" t="e">
        <f>IF(INDEX(CaProdutos[Item], MATCH(Precificação[[#This Row],[ID]], CaProdutos[ID], 0)) &lt;&gt; "", INDEX(CaProdutos[Item], MATCH(Precificação[[#This Row],[ID]], CaProdutos[ID], 0)), "")</f>
        <v>#N/A</v>
      </c>
      <c r="D38" s="13" t="e">
        <f>IF(Precificação[[#This Row],[Item]] &lt;&gt; "", INDEX(CaProdutos[Custo de Produção (1 un.)], MATCH(Precificação[[#This Row],[ID]], CaProdutos[ID], 0)), "")</f>
        <v>#N/A</v>
      </c>
      <c r="E38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8" s="22"/>
      <c r="G38" s="16" t="str">
        <f>IFERROR(Precificação[[#This Row],[Preço Definitivo]] - INDEX(CaProdutos[Custo Total (1 un.)], MATCH(Precificação[[#This Row],[ID]], CaProdutos[ID], 0)), "")</f>
        <v/>
      </c>
      <c r="H38" s="16" t="str">
        <f>IFERROR(Precificação[[#This Row],[Lucro Bruto]] - INDEX(ConfPrec[Rateio de Custos Fixos], 1), "")</f>
        <v/>
      </c>
      <c r="I38" s="1" t="e">
        <f>IF(Precificação[[#This Row],[Item]] &lt;&gt; "", INDEX(ConfPrec[C.F nos custos totais?], 1), "")</f>
        <v>#N/A</v>
      </c>
    </row>
    <row r="39" spans="2:9">
      <c r="B39">
        <f>CaProdutos[[#This Row],[ID]]</f>
        <v>0</v>
      </c>
      <c r="C39" t="e">
        <f>IF(INDEX(CaProdutos[Item], MATCH(Precificação[[#This Row],[ID]], CaProdutos[ID], 0)) &lt;&gt; "", INDEX(CaProdutos[Item], MATCH(Precificação[[#This Row],[ID]], CaProdutos[ID], 0)), "")</f>
        <v>#N/A</v>
      </c>
      <c r="D39" s="13" t="e">
        <f>IF(Precificação[[#This Row],[Item]] &lt;&gt; "", INDEX(CaProdutos[Custo de Produção (1 un.)], MATCH(Precificação[[#This Row],[ID]], CaProdutos[ID], 0)), "")</f>
        <v>#N/A</v>
      </c>
      <c r="E39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9" s="22"/>
      <c r="G39" s="16" t="str">
        <f>IFERROR(Precificação[[#This Row],[Preço Definitivo]] - INDEX(CaProdutos[Custo Total (1 un.)], MATCH(Precificação[[#This Row],[ID]], CaProdutos[ID], 0)), "")</f>
        <v/>
      </c>
      <c r="H39" s="16" t="str">
        <f>IFERROR(Precificação[[#This Row],[Lucro Bruto]] - INDEX(ConfPrec[Rateio de Custos Fixos], 1), "")</f>
        <v/>
      </c>
      <c r="I39" s="1" t="e">
        <f>IF(Precificação[[#This Row],[Item]] &lt;&gt; "", INDEX(ConfPrec[C.F nos custos totais?], 1), "")</f>
        <v>#N/A</v>
      </c>
    </row>
    <row r="40" spans="2:9">
      <c r="B40">
        <f>CaProdutos[[#This Row],[ID]]</f>
        <v>0</v>
      </c>
      <c r="C40" t="e">
        <f>IF(INDEX(CaProdutos[Item], MATCH(Precificação[[#This Row],[ID]], CaProdutos[ID], 0)) &lt;&gt; "", INDEX(CaProdutos[Item], MATCH(Precificação[[#This Row],[ID]], CaProdutos[ID], 0)), "")</f>
        <v>#N/A</v>
      </c>
      <c r="D40" s="13" t="e">
        <f>IF(Precificação[[#This Row],[Item]] &lt;&gt; "", INDEX(CaProdutos[Custo de Produção (1 un.)], MATCH(Precificação[[#This Row],[ID]], CaProdutos[ID], 0)), "")</f>
        <v>#N/A</v>
      </c>
      <c r="E4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0" s="22"/>
      <c r="G40" s="16" t="str">
        <f>IFERROR(Precificação[[#This Row],[Preço Definitivo]] - INDEX(CaProdutos[Custo Total (1 un.)], MATCH(Precificação[[#This Row],[ID]], CaProdutos[ID], 0)), "")</f>
        <v/>
      </c>
      <c r="H40" s="16" t="str">
        <f>IFERROR(Precificação[[#This Row],[Lucro Bruto]] - INDEX(ConfPrec[Rateio de Custos Fixos], 1), "")</f>
        <v/>
      </c>
      <c r="I40" s="1" t="e">
        <f>IF(Precificação[[#This Row],[Item]] &lt;&gt; "", INDEX(ConfPrec[C.F nos custos totais?], 1), "")</f>
        <v>#N/A</v>
      </c>
    </row>
    <row r="41" spans="2:9">
      <c r="B41">
        <f>CaProdutos[[#This Row],[ID]]</f>
        <v>0</v>
      </c>
      <c r="C41" t="e">
        <f>IF(INDEX(CaProdutos[Item], MATCH(Precificação[[#This Row],[ID]], CaProdutos[ID], 0)) &lt;&gt; "", INDEX(CaProdutos[Item], MATCH(Precificação[[#This Row],[ID]], CaProdutos[ID], 0)), "")</f>
        <v>#N/A</v>
      </c>
      <c r="D41" s="13" t="e">
        <f>IF(Precificação[[#This Row],[Item]] &lt;&gt; "", INDEX(CaProdutos[Custo de Produção (1 un.)], MATCH(Precificação[[#This Row],[ID]], CaProdutos[ID], 0)), "")</f>
        <v>#N/A</v>
      </c>
      <c r="E4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1" s="22"/>
      <c r="G41" s="16" t="str">
        <f>IFERROR(Precificação[[#This Row],[Preço Definitivo]] - INDEX(CaProdutos[Custo Total (1 un.)], MATCH(Precificação[[#This Row],[ID]], CaProdutos[ID], 0)), "")</f>
        <v/>
      </c>
      <c r="H41" s="16" t="str">
        <f>IFERROR(Precificação[[#This Row],[Lucro Bruto]] - INDEX(ConfPrec[Rateio de Custos Fixos], 1), "")</f>
        <v/>
      </c>
      <c r="I41" s="1" t="e">
        <f>IF(Precificação[[#This Row],[Item]] &lt;&gt; "", INDEX(ConfPrec[C.F nos custos totais?], 1), "")</f>
        <v>#N/A</v>
      </c>
    </row>
    <row r="42" spans="2:9">
      <c r="B42" t="s">
        <v>11</v>
      </c>
      <c r="D42" s="13" t="e">
        <f>SUBTOTAL(109,Precificação[Preço de Custo])</f>
        <v>#N/A</v>
      </c>
      <c r="E42" s="22">
        <f>SUBTOTAL(109,Precificação[Preço de Venda])</f>
        <v>185.89675259584919</v>
      </c>
      <c r="F42" s="22">
        <f>SUBTOTAL(109,Precificação[Preço Definitivo])</f>
        <v>91</v>
      </c>
      <c r="G42" s="16">
        <f>SUBTOTAL(109,Precificação[Lucro Bruto])</f>
        <v>-35.156199039316647</v>
      </c>
      <c r="H42" s="16">
        <f>SUBTOTAL(109,Precificação[Lucro Líquido])</f>
        <v>-106.07633792820552</v>
      </c>
      <c r="I42" s="1"/>
    </row>
  </sheetData>
  <conditionalFormatting sqref="G5:H42">
    <cfRule type="expression" dxfId="0" priority="1">
      <formula>G5&lt;0</formula>
    </cfRule>
  </conditionalFormatting>
  <dataValidations count="1">
    <dataValidation type="list" allowBlank="1" showInputMessage="1" showErrorMessage="1" sqref="I5:I41" xr:uid="{2743C128-344A-4C04-8D57-D0C70D46E7A6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I6 I8:I20" listDataValidatio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A7BB-E95A-4C98-B949-3C5C859E6F2F}">
  <sheetPr codeName="Planilha10"/>
  <dimension ref="B4:H21"/>
  <sheetViews>
    <sheetView topLeftCell="A2" workbookViewId="0">
      <selection activeCell="D5" sqref="D5:D20"/>
    </sheetView>
  </sheetViews>
  <sheetFormatPr defaultRowHeight="15"/>
  <cols>
    <col min="2" max="2" width="10" customWidth="1"/>
    <col min="4" max="4" width="31.7109375" bestFit="1" customWidth="1"/>
    <col min="5" max="5" width="14.5703125" customWidth="1"/>
    <col min="6" max="6" width="13.140625" customWidth="1"/>
    <col min="7" max="7" width="14.7109375" customWidth="1"/>
    <col min="8" max="8" width="15.7109375" customWidth="1"/>
  </cols>
  <sheetData>
    <row r="4" spans="2:8" ht="30">
      <c r="B4" s="11" t="s">
        <v>42</v>
      </c>
      <c r="C4" s="1" t="s">
        <v>4</v>
      </c>
      <c r="D4" s="7" t="s">
        <v>21</v>
      </c>
      <c r="E4" s="1" t="s">
        <v>43</v>
      </c>
      <c r="F4" s="1" t="s">
        <v>36</v>
      </c>
      <c r="G4" s="1" t="s">
        <v>37</v>
      </c>
      <c r="H4" s="1" t="s">
        <v>134</v>
      </c>
    </row>
    <row r="5" spans="2:8">
      <c r="C5" t="str">
        <f>IFERROR(INDEX(CaProdutos[ID], MATCH(retorno[[#This Row],[Item]], CaProdutos[Item], 0)), "")</f>
        <v/>
      </c>
      <c r="E5" s="17" t="str">
        <f>IFERROR(INDEX(Precificação[Preço de Venda], MATCH(retorno[[#This Row],[ID]], CaProdutos[ID], 0)) * retorno[[#This Row],[Qtd. Vendida]], "")</f>
        <v/>
      </c>
      <c r="F5" s="17" t="str">
        <f>IFERROR(INDEX(Precificação[Lucro Bruto], MATCH(retorno[[#This Row],[ID]], CaProdutos[ID], 0)) * retorno[[#This Row],[Qtd. Vendida]], "")</f>
        <v/>
      </c>
      <c r="G5" s="17" t="str">
        <f>IFERROR(retorno[[#This Row],[Lucro Bruto]] - (CFMensais[[#Totals], [Valor]] / retorno[[#Totals], [Qtd. Vendida]] * retorno[[#This Row],[Qtd. Vendida]]), "")</f>
        <v/>
      </c>
      <c r="H5" s="17" t="str">
        <f>IF(retorno[[#This Row],[Lucro Líquido]] &lt;&gt; "", CFMensais[[#Totals], [Valor]] / retorno[[#Totals], [Qtd. Vendida]], "")</f>
        <v/>
      </c>
    </row>
    <row r="6" spans="2:8">
      <c r="C6" t="str">
        <f>IFERROR(INDEX(CaProdutos[ID], MATCH(retorno[[#This Row],[Item]], CaProdutos[Item], 0)), "")</f>
        <v/>
      </c>
      <c r="E6" s="17" t="str">
        <f>IFERROR(INDEX(Precificação[Preço de Venda], MATCH(retorno[[#This Row],[ID]], CaProdutos[ID], 0)) * retorno[[#This Row],[Qtd. Vendida]], "")</f>
        <v/>
      </c>
      <c r="F6" s="17" t="str">
        <f>IFERROR(INDEX(Precificação[Lucro Bruto], MATCH(retorno[[#This Row],[ID]], CaProdutos[ID], 0)) * retorno[[#This Row],[Qtd. Vendida]], "")</f>
        <v/>
      </c>
      <c r="G6" s="17" t="str">
        <f>IFERROR(retorno[[#This Row],[Lucro Bruto]] - (CFMensais[[#Totals], [Valor]] / retorno[[#Totals], [Qtd. Vendida]] * retorno[[#This Row],[Qtd. Vendida]]), "")</f>
        <v/>
      </c>
      <c r="H6" s="17" t="str">
        <f>IF(retorno[[#This Row],[Lucro Líquido]] &lt;&gt; "", CFMensais[[#Totals], [Valor]] / retorno[[#Totals], [Qtd. Vendida]], "")</f>
        <v/>
      </c>
    </row>
    <row r="7" spans="2:8">
      <c r="C7" t="str">
        <f>IFERROR(INDEX(CaProdutos[ID], MATCH(retorno[[#This Row],[Item]], CaProdutos[Item], 0)), "")</f>
        <v/>
      </c>
      <c r="E7" s="17" t="str">
        <f>IFERROR(INDEX(Precificação[Preço de Venda], MATCH(retorno[[#This Row],[ID]], CaProdutos[ID], 0)) * retorno[[#This Row],[Qtd. Vendida]], "")</f>
        <v/>
      </c>
      <c r="F7" s="17" t="str">
        <f>IFERROR(INDEX(Precificação[Lucro Bruto], MATCH(retorno[[#This Row],[ID]], CaProdutos[ID], 0)) * retorno[[#This Row],[Qtd. Vendida]], "")</f>
        <v/>
      </c>
      <c r="G7" s="17" t="str">
        <f>IFERROR(retorno[[#This Row],[Lucro Bruto]] - (CFMensais[[#Totals], [Valor]] / retorno[[#Totals], [Qtd. Vendida]] * retorno[[#This Row],[Qtd. Vendida]]), "")</f>
        <v/>
      </c>
      <c r="H7" s="17" t="str">
        <f>IF(retorno[[#This Row],[Lucro Líquido]] &lt;&gt; "", CFMensais[[#Totals], [Valor]] / retorno[[#Totals], [Qtd. Vendida]], "")</f>
        <v/>
      </c>
    </row>
    <row r="8" spans="2:8">
      <c r="C8" t="str">
        <f>IFERROR(INDEX(CaProdutos[ID], MATCH(retorno[[#This Row],[Item]], CaProdutos[Item], 0)), "")</f>
        <v/>
      </c>
      <c r="E8" s="17" t="str">
        <f>IFERROR(INDEX(Precificação[Preço de Venda], MATCH(retorno[[#This Row],[ID]], CaProdutos[ID], 0)) * retorno[[#This Row],[Qtd. Vendida]], "")</f>
        <v/>
      </c>
      <c r="F8" s="17" t="str">
        <f>IFERROR(INDEX(Precificação[Lucro Bruto], MATCH(retorno[[#This Row],[ID]], CaProdutos[ID], 0)) * retorno[[#This Row],[Qtd. Vendida]], "")</f>
        <v/>
      </c>
      <c r="G8" s="17" t="str">
        <f>IFERROR(retorno[[#This Row],[Lucro Bruto]] - (CFMensais[[#Totals], [Valor]] / retorno[[#Totals], [Qtd. Vendida]] * retorno[[#This Row],[Qtd. Vendida]]), "")</f>
        <v/>
      </c>
      <c r="H8" s="17" t="str">
        <f>IF(retorno[[#This Row],[Lucro Líquido]] &lt;&gt; "", CFMensais[[#Totals], [Valor]] / retorno[[#Totals], [Qtd. Vendida]], "")</f>
        <v/>
      </c>
    </row>
    <row r="9" spans="2:8">
      <c r="C9" t="str">
        <f>IFERROR(INDEX(CaProdutos[ID], MATCH(retorno[[#This Row],[Item]], CaProdutos[Item], 0)), "")</f>
        <v/>
      </c>
      <c r="E9" s="17" t="str">
        <f>IFERROR(INDEX(Precificação[Preço de Venda], MATCH(retorno[[#This Row],[ID]], CaProdutos[ID], 0)) * retorno[[#This Row],[Qtd. Vendida]], "")</f>
        <v/>
      </c>
      <c r="F9" s="17" t="str">
        <f>IFERROR(INDEX(Precificação[Lucro Bruto], MATCH(retorno[[#This Row],[ID]], CaProdutos[ID], 0)) * retorno[[#This Row],[Qtd. Vendida]], "")</f>
        <v/>
      </c>
      <c r="G9" s="17" t="str">
        <f>IFERROR(retorno[[#This Row],[Lucro Bruto]] - (CFMensais[[#Totals], [Valor]] / retorno[[#Totals], [Qtd. Vendida]] * retorno[[#This Row],[Qtd. Vendida]]), "")</f>
        <v/>
      </c>
      <c r="H9" s="17" t="str">
        <f>IF(retorno[[#This Row],[Lucro Líquido]] &lt;&gt; "", CFMensais[[#Totals], [Valor]] / retorno[[#Totals], [Qtd. Vendida]], "")</f>
        <v/>
      </c>
    </row>
    <row r="10" spans="2:8">
      <c r="C10" t="str">
        <f>IFERROR(INDEX(CaProdutos[ID], MATCH(retorno[[#This Row],[Item]], CaProdutos[Item], 0)), "")</f>
        <v/>
      </c>
      <c r="E10" s="17" t="str">
        <f>IFERROR(INDEX(Precificação[Preço de Venda], MATCH(retorno[[#This Row],[ID]], CaProdutos[ID], 0)) * retorno[[#This Row],[Qtd. Vendida]], "")</f>
        <v/>
      </c>
      <c r="F10" s="17" t="str">
        <f>IFERROR(INDEX(Precificação[Lucro Bruto], MATCH(retorno[[#This Row],[ID]], CaProdutos[ID], 0)) * retorno[[#This Row],[Qtd. Vendida]], "")</f>
        <v/>
      </c>
      <c r="G10" s="17" t="str">
        <f>IFERROR(retorno[[#This Row],[Lucro Bruto]] - (CFMensais[[#Totals], [Valor]] / retorno[[#Totals], [Qtd. Vendida]] * retorno[[#This Row],[Qtd. Vendida]]), "")</f>
        <v/>
      </c>
      <c r="H10" s="17" t="str">
        <f>IF(retorno[[#This Row],[Lucro Líquido]] &lt;&gt; "", CFMensais[[#Totals], [Valor]] / retorno[[#Totals], [Qtd. Vendida]], "")</f>
        <v/>
      </c>
    </row>
    <row r="11" spans="2:8">
      <c r="E11" s="17"/>
      <c r="F11" s="17"/>
      <c r="G11" s="17"/>
      <c r="H11" s="17"/>
    </row>
    <row r="12" spans="2:8">
      <c r="C12" t="str">
        <f>IFERROR(INDEX(CaProdutos[ID], MATCH(retorno[[#This Row],[Item]], CaProdutos[Item], 0)), "")</f>
        <v/>
      </c>
      <c r="E12" s="17" t="str">
        <f>IFERROR(INDEX(Precificação[Preço de Venda], MATCH(retorno[[#This Row],[ID]], CaProdutos[ID], 0)) * retorno[[#This Row],[Qtd. Vendida]], "")</f>
        <v/>
      </c>
      <c r="F12" s="17" t="str">
        <f>IFERROR(INDEX(Precificação[Lucro Bruto], MATCH(retorno[[#This Row],[ID]], CaProdutos[ID], 0)) * retorno[[#This Row],[Qtd. Vendida]], "")</f>
        <v/>
      </c>
      <c r="G12" s="17" t="str">
        <f>IFERROR(retorno[[#This Row],[Lucro Bruto]] - (CFMensais[[#Totals], [Valor]] / retorno[[#Totals], [Qtd. Vendida]] * retorno[[#This Row],[Qtd. Vendida]]), "")</f>
        <v/>
      </c>
      <c r="H12" s="17" t="str">
        <f>IF(retorno[[#This Row],[Lucro Líquido]] &lt;&gt; "", CFMensais[[#Totals], [Valor]] / retorno[[#Totals], [Qtd. Vendida]], "")</f>
        <v/>
      </c>
    </row>
    <row r="13" spans="2:8">
      <c r="C13" t="str">
        <f>IFERROR(INDEX(CaProdutos[ID], MATCH(retorno[[#This Row],[Item]], CaProdutos[Item], 0)), "")</f>
        <v/>
      </c>
      <c r="E13" s="17" t="str">
        <f>IFERROR(INDEX(Precificação[Preço de Venda], MATCH(retorno[[#This Row],[ID]], CaProdutos[ID], 0)) * retorno[[#This Row],[Qtd. Vendida]], "")</f>
        <v/>
      </c>
      <c r="F13" s="17" t="str">
        <f>IFERROR(INDEX(Precificação[Lucro Bruto], MATCH(retorno[[#This Row],[ID]], CaProdutos[ID], 0)) * retorno[[#This Row],[Qtd. Vendida]], "")</f>
        <v/>
      </c>
      <c r="G13" s="17" t="str">
        <f>IFERROR(retorno[[#This Row],[Lucro Bruto]] - (CFMensais[[#Totals], [Valor]] / retorno[[#Totals], [Qtd. Vendida]] * retorno[[#This Row],[Qtd. Vendida]]), "")</f>
        <v/>
      </c>
      <c r="H13" s="17" t="str">
        <f>IF(retorno[[#This Row],[Lucro Líquido]] &lt;&gt; "", CFMensais[[#Totals], [Valor]] / retorno[[#Totals], [Qtd. Vendida]], "")</f>
        <v/>
      </c>
    </row>
    <row r="14" spans="2:8">
      <c r="C14" t="str">
        <f>IFERROR(INDEX(CaProdutos[ID], MATCH(retorno[[#This Row],[Item]], CaProdutos[Item], 0)), "")</f>
        <v/>
      </c>
      <c r="E14" s="17" t="str">
        <f>IFERROR(INDEX(Precificação[Preço de Venda], MATCH(retorno[[#This Row],[ID]], CaProdutos[ID], 0)) * retorno[[#This Row],[Qtd. Vendida]], "")</f>
        <v/>
      </c>
      <c r="F14" s="17" t="str">
        <f>IFERROR(INDEX(Precificação[Lucro Bruto], MATCH(retorno[[#This Row],[ID]], CaProdutos[ID], 0)) * retorno[[#This Row],[Qtd. Vendida]], "")</f>
        <v/>
      </c>
      <c r="G14" s="17" t="str">
        <f>IFERROR(retorno[[#This Row],[Lucro Bruto]] - (CFMensais[[#Totals], [Valor]] / retorno[[#Totals], [Qtd. Vendida]] * retorno[[#This Row],[Qtd. Vendida]]), "")</f>
        <v/>
      </c>
      <c r="H14" s="17" t="str">
        <f>IF(retorno[[#This Row],[Lucro Líquido]] &lt;&gt; "", CFMensais[[#Totals], [Valor]] / retorno[[#Totals], [Qtd. Vendida]], "")</f>
        <v/>
      </c>
    </row>
    <row r="15" spans="2:8">
      <c r="C15" t="str">
        <f>IFERROR(INDEX(CaProdutos[ID], MATCH(retorno[[#This Row],[Item]], CaProdutos[Item], 0)), "")</f>
        <v/>
      </c>
      <c r="E15" s="17" t="str">
        <f>IFERROR(INDEX(Precificação[Preço de Venda], MATCH(retorno[[#This Row],[ID]], CaProdutos[ID], 0)) * retorno[[#This Row],[Qtd. Vendida]], "")</f>
        <v/>
      </c>
      <c r="F15" s="17" t="str">
        <f>IFERROR(INDEX(Precificação[Lucro Bruto], MATCH(retorno[[#This Row],[ID]], CaProdutos[ID], 0)) * retorno[[#This Row],[Qtd. Vendida]], "")</f>
        <v/>
      </c>
      <c r="G15" s="17" t="str">
        <f>IFERROR(retorno[[#This Row],[Lucro Bruto]] - (CFMensais[[#Totals], [Valor]] / retorno[[#Totals], [Qtd. Vendida]] * retorno[[#This Row],[Qtd. Vendida]]), "")</f>
        <v/>
      </c>
      <c r="H15" s="17" t="str">
        <f>IF(retorno[[#This Row],[Lucro Líquido]] &lt;&gt; "", CFMensais[[#Totals], [Valor]] / retorno[[#Totals], [Qtd. Vendida]], "")</f>
        <v/>
      </c>
    </row>
    <row r="16" spans="2:8">
      <c r="C16" t="str">
        <f>IFERROR(INDEX(CaProdutos[ID], MATCH(retorno[[#This Row],[Item]], CaProdutos[Item], 0)), "")</f>
        <v/>
      </c>
      <c r="E16" s="17" t="str">
        <f>IFERROR(INDEX(Precificação[Preço de Venda], MATCH(retorno[[#This Row],[ID]], CaProdutos[ID], 0)) * retorno[[#This Row],[Qtd. Vendida]], "")</f>
        <v/>
      </c>
      <c r="F16" s="17" t="str">
        <f>IFERROR(INDEX(Precificação[Lucro Bruto], MATCH(retorno[[#This Row],[ID]], CaProdutos[ID], 0)) * retorno[[#This Row],[Qtd. Vendida]], "")</f>
        <v/>
      </c>
      <c r="G16" s="17" t="str">
        <f>IFERROR(retorno[[#This Row],[Lucro Bruto]] - (CFMensais[[#Totals], [Valor]] / retorno[[#Totals], [Qtd. Vendida]] * retorno[[#This Row],[Qtd. Vendida]]), "")</f>
        <v/>
      </c>
      <c r="H16" s="17" t="str">
        <f>IF(retorno[[#This Row],[Lucro Líquido]] &lt;&gt; "", CFMensais[[#Totals], [Valor]] / retorno[[#Totals], [Qtd. Vendida]], "")</f>
        <v/>
      </c>
    </row>
    <row r="17" spans="2:8">
      <c r="C17" t="str">
        <f>IFERROR(INDEX(CaProdutos[ID], MATCH(retorno[[#This Row],[Item]], CaProdutos[Item], 0)), "")</f>
        <v/>
      </c>
      <c r="E17" s="17" t="str">
        <f>IFERROR(INDEX(Precificação[Preço de Venda], MATCH(retorno[[#This Row],[ID]], CaProdutos[ID], 0)) * retorno[[#This Row],[Qtd. Vendida]], "")</f>
        <v/>
      </c>
      <c r="F17" s="17" t="str">
        <f>IFERROR(INDEX(Precificação[Lucro Bruto], MATCH(retorno[[#This Row],[ID]], CaProdutos[ID], 0)) * retorno[[#This Row],[Qtd. Vendida]], "")</f>
        <v/>
      </c>
      <c r="G17" s="17" t="str">
        <f>IFERROR(retorno[[#This Row],[Lucro Bruto]] - (CFMensais[[#Totals], [Valor]] / retorno[[#Totals], [Qtd. Vendida]] * retorno[[#This Row],[Qtd. Vendida]]), "")</f>
        <v/>
      </c>
      <c r="H17" s="17" t="str">
        <f>IF(retorno[[#This Row],[Lucro Líquido]] &lt;&gt; "", CFMensais[[#Totals], [Valor]] / retorno[[#Totals], [Qtd. Vendida]], "")</f>
        <v/>
      </c>
    </row>
    <row r="18" spans="2:8">
      <c r="C18" t="str">
        <f>IFERROR(INDEX(CaProdutos[ID], MATCH(retorno[[#This Row],[Item]], CaProdutos[Item], 0)), "")</f>
        <v/>
      </c>
      <c r="E18" s="17" t="str">
        <f>IFERROR(INDEX(Precificação[Preço de Venda], MATCH(retorno[[#This Row],[ID]], CaProdutos[ID], 0)) * retorno[[#This Row],[Qtd. Vendida]], "")</f>
        <v/>
      </c>
      <c r="F18" s="17" t="str">
        <f>IFERROR(INDEX(Precificação[Lucro Bruto], MATCH(retorno[[#This Row],[ID]], CaProdutos[ID], 0)) * retorno[[#This Row],[Qtd. Vendida]], "")</f>
        <v/>
      </c>
      <c r="G18" s="17" t="str">
        <f>IFERROR(retorno[[#This Row],[Lucro Bruto]] - (CFMensais[[#Totals], [Valor]] / retorno[[#Totals], [Qtd. Vendida]] * retorno[[#This Row],[Qtd. Vendida]]), "")</f>
        <v/>
      </c>
      <c r="H18" s="17" t="str">
        <f>IF(retorno[[#This Row],[Lucro Líquido]] &lt;&gt; "", CFMensais[[#Totals], [Valor]] / retorno[[#Totals], [Qtd. Vendida]], "")</f>
        <v/>
      </c>
    </row>
    <row r="19" spans="2:8">
      <c r="C19" t="str">
        <f>IFERROR(INDEX(CaProdutos[ID], MATCH(retorno[[#This Row],[Item]], CaProdutos[Item], 0)), "")</f>
        <v/>
      </c>
      <c r="E19" s="17" t="str">
        <f>IFERROR(INDEX(Precificação[Preço de Venda], MATCH(retorno[[#This Row],[ID]], CaProdutos[ID], 0)) * retorno[[#This Row],[Qtd. Vendida]], "")</f>
        <v/>
      </c>
      <c r="F19" s="17" t="str">
        <f>IFERROR(INDEX(Precificação[Lucro Bruto], MATCH(retorno[[#This Row],[ID]], CaProdutos[ID], 0)) * retorno[[#This Row],[Qtd. Vendida]], "")</f>
        <v/>
      </c>
      <c r="G19" s="17" t="str">
        <f>IFERROR(retorno[[#This Row],[Lucro Bruto]] - (CFMensais[[#Totals], [Valor]] / retorno[[#Totals], [Qtd. Vendida]] * retorno[[#This Row],[Qtd. Vendida]]), "")</f>
        <v/>
      </c>
      <c r="H19" s="17" t="str">
        <f>IF(retorno[[#This Row],[Lucro Líquido]] &lt;&gt; "", CFMensais[[#Totals], [Valor]] / retorno[[#Totals], [Qtd. Vendida]], "")</f>
        <v/>
      </c>
    </row>
    <row r="20" spans="2:8">
      <c r="C20" t="str">
        <f>IFERROR(INDEX(CaProdutos[ID], MATCH(retorno[[#This Row],[Item]], CaProdutos[Item], 0)), "")</f>
        <v/>
      </c>
      <c r="E20" s="17" t="str">
        <f>IFERROR(INDEX(Precificação[Preço de Venda], MATCH(retorno[[#This Row],[ID]], CaProdutos[ID], 0)) * retorno[[#This Row],[Qtd. Vendida]], "")</f>
        <v/>
      </c>
      <c r="F20" s="17" t="str">
        <f>IFERROR(INDEX(Precificação[Lucro Bruto], MATCH(retorno[[#This Row],[ID]], CaProdutos[ID], 0)) * retorno[[#This Row],[Qtd. Vendida]], "")</f>
        <v/>
      </c>
      <c r="G20" s="17" t="str">
        <f>IFERROR(retorno[[#This Row],[Lucro Bruto]] - (CFMensais[[#Totals], [Valor]] / retorno[[#Totals], [Qtd. Vendida]] * retorno[[#This Row],[Qtd. Vendida]]), "")</f>
        <v/>
      </c>
      <c r="H20" s="17" t="str">
        <f>IF(retorno[[#This Row],[Lucro Líquido]] &lt;&gt; "", CFMensais[[#Totals], [Valor]] / retorno[[#Totals], [Qtd. Vendida]], "")</f>
        <v/>
      </c>
    </row>
    <row r="21" spans="2:8">
      <c r="B21">
        <f>SUBTOTAL(109,retorno[Qtd. Vendida])</f>
        <v>0</v>
      </c>
      <c r="E21" s="17">
        <f>SUBTOTAL(109,retorno[Faturamento])</f>
        <v>0</v>
      </c>
      <c r="F21" s="17">
        <f>SUBTOTAL(109,retorno[Lucro Bruto])</f>
        <v>0</v>
      </c>
      <c r="G21" s="17">
        <f>SUBTOTAL(109,retorno[Lucro Líquido])</f>
        <v>0</v>
      </c>
      <c r="H21" s="34"/>
    </row>
  </sheetData>
  <dataValidations count="1">
    <dataValidation type="list" allowBlank="1" showInputMessage="1" showErrorMessage="1" sqref="D5:D20" xr:uid="{CD1A9988-0384-41BE-B4F9-4AF72893AA73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2E5D-8462-4A30-B289-60C03B87EDD2}">
  <sheetPr codeName="Planilha11"/>
  <dimension ref="B2:G51"/>
  <sheetViews>
    <sheetView workbookViewId="0">
      <selection activeCell="G5" sqref="G5:G50"/>
    </sheetView>
  </sheetViews>
  <sheetFormatPr defaultRowHeight="15"/>
  <cols>
    <col min="2" max="2" width="10.7109375" bestFit="1" customWidth="1"/>
    <col min="4" max="4" width="27" bestFit="1" customWidth="1"/>
    <col min="5" max="7" width="15.7109375" customWidth="1"/>
  </cols>
  <sheetData>
    <row r="2" spans="2:7">
      <c r="C2" s="49" t="s">
        <v>67</v>
      </c>
      <c r="D2" s="49"/>
      <c r="E2" s="49"/>
      <c r="F2" s="49"/>
      <c r="G2" s="49"/>
    </row>
    <row r="4" spans="2:7">
      <c r="B4" s="26" t="s">
        <v>115</v>
      </c>
      <c r="C4" s="26" t="s">
        <v>4</v>
      </c>
      <c r="D4" t="s">
        <v>21</v>
      </c>
      <c r="E4" s="1" t="s">
        <v>50</v>
      </c>
      <c r="F4" s="1" t="s">
        <v>47</v>
      </c>
      <c r="G4" s="1" t="s">
        <v>19</v>
      </c>
    </row>
    <row r="5" spans="2:7">
      <c r="B5" s="31"/>
      <c r="C5" s="1" t="str">
        <f>IFERROR(INDEX(insumos[ID], MATCH(compras[[#This Row],[Item]], insumos[item], 0)), "")</f>
        <v/>
      </c>
      <c r="E5" s="1"/>
      <c r="F5" s="1" t="str">
        <f>IFERROR(INDEX(insumos[medida], MATCH(compras[[#This Row],[Item]], insumos[item], 0)), "")</f>
        <v/>
      </c>
      <c r="G5" s="9"/>
    </row>
    <row r="6" spans="2:7">
      <c r="B6" s="31"/>
      <c r="C6" s="1" t="str">
        <f>IFERROR(INDEX(insumos[ID], MATCH(compras[[#This Row],[Item]], insumos[item], 0)), "")</f>
        <v/>
      </c>
      <c r="E6" s="1"/>
      <c r="F6" s="1" t="str">
        <f>IFERROR(INDEX(insumos[medida], MATCH(compras[[#This Row],[Item]], insumos[item], 0)), "")</f>
        <v/>
      </c>
      <c r="G6" s="9"/>
    </row>
    <row r="7" spans="2:7">
      <c r="B7" s="31"/>
      <c r="C7" s="1" t="str">
        <f>IFERROR(INDEX(insumos[ID], MATCH(compras[[#This Row],[Item]], insumos[item], 0)), "")</f>
        <v/>
      </c>
      <c r="E7" s="1"/>
      <c r="F7" s="1" t="str">
        <f>IFERROR(INDEX(insumos[medida], MATCH(compras[[#This Row],[Item]], insumos[item], 0)), "")</f>
        <v/>
      </c>
      <c r="G7" s="9"/>
    </row>
    <row r="8" spans="2:7">
      <c r="B8" s="31"/>
      <c r="C8" s="1" t="str">
        <f>IFERROR(INDEX(insumos[ID], MATCH(compras[[#This Row],[Item]], insumos[item], 0)), "")</f>
        <v/>
      </c>
      <c r="E8" s="1"/>
      <c r="F8" s="1" t="str">
        <f>IFERROR(INDEX(insumos[medida], MATCH(compras[[#This Row],[Item]], insumos[item], 0)), "")</f>
        <v/>
      </c>
      <c r="G8" s="9"/>
    </row>
    <row r="9" spans="2:7">
      <c r="B9" s="31"/>
      <c r="C9" s="1" t="str">
        <f>IFERROR(INDEX(insumos[ID], MATCH(compras[[#This Row],[Item]], insumos[item], 0)), "")</f>
        <v/>
      </c>
      <c r="E9" s="1"/>
      <c r="F9" s="1" t="str">
        <f>IFERROR(INDEX(insumos[medida], MATCH(compras[[#This Row],[Item]], insumos[item], 0)), "")</f>
        <v/>
      </c>
      <c r="G9" s="9"/>
    </row>
    <row r="10" spans="2:7">
      <c r="B10" s="31"/>
      <c r="C10" s="1" t="str">
        <f>IFERROR(INDEX(insumos[ID], MATCH(compras[[#This Row],[Item]], insumos[item], 0)), "")</f>
        <v/>
      </c>
      <c r="E10" s="1"/>
      <c r="F10" s="1" t="str">
        <f>IFERROR(INDEX(insumos[medida], MATCH(compras[[#This Row],[Item]], insumos[item], 0)), "")</f>
        <v/>
      </c>
      <c r="G10" s="9"/>
    </row>
    <row r="11" spans="2:7">
      <c r="B11" s="31"/>
      <c r="C11" s="1" t="str">
        <f>IFERROR(INDEX(insumos[ID], MATCH(compras[[#This Row],[Item]], insumos[item], 0)), "")</f>
        <v/>
      </c>
      <c r="E11" s="1"/>
      <c r="F11" s="1" t="str">
        <f>IFERROR(INDEX(insumos[medida], MATCH(compras[[#This Row],[Item]], insumos[item], 0)), "")</f>
        <v/>
      </c>
      <c r="G11" s="9"/>
    </row>
    <row r="12" spans="2:7">
      <c r="B12" s="31"/>
      <c r="C12" s="1" t="str">
        <f>IFERROR(INDEX(insumos[ID], MATCH(compras[[#This Row],[Item]], insumos[item], 0)), "")</f>
        <v/>
      </c>
      <c r="E12" s="1"/>
      <c r="F12" s="1" t="str">
        <f>IFERROR(INDEX(insumos[medida], MATCH(compras[[#This Row],[Item]], insumos[item], 0)), "")</f>
        <v/>
      </c>
      <c r="G12" s="9"/>
    </row>
    <row r="13" spans="2:7">
      <c r="B13" s="31"/>
      <c r="C13" s="1" t="str">
        <f>IFERROR(INDEX(insumos[ID], MATCH(compras[[#This Row],[Item]], insumos[item], 0)), "")</f>
        <v/>
      </c>
      <c r="E13" s="1"/>
      <c r="F13" s="1" t="str">
        <f>IFERROR(INDEX(insumos[medida], MATCH(compras[[#This Row],[Item]], insumos[item], 0)), "")</f>
        <v/>
      </c>
      <c r="G13" s="9"/>
    </row>
    <row r="14" spans="2:7">
      <c r="B14" s="31"/>
      <c r="C14" s="1" t="str">
        <f>IFERROR(INDEX(insumos[ID], MATCH(compras[[#This Row],[Item]], insumos[item], 0)), "")</f>
        <v/>
      </c>
      <c r="E14" s="1"/>
      <c r="F14" s="1" t="str">
        <f>IFERROR(INDEX(insumos[medida], MATCH(compras[[#This Row],[Item]], insumos[item], 0)), "")</f>
        <v/>
      </c>
      <c r="G14" s="9"/>
    </row>
    <row r="15" spans="2:7">
      <c r="B15" s="31"/>
      <c r="C15" s="1" t="str">
        <f>IFERROR(INDEX(insumos[ID], MATCH(compras[[#This Row],[Item]], insumos[item], 0)), "")</f>
        <v/>
      </c>
      <c r="E15" s="1"/>
      <c r="F15" s="1" t="str">
        <f>IFERROR(INDEX(insumos[medida], MATCH(compras[[#This Row],[Item]], insumos[item], 0)), "")</f>
        <v/>
      </c>
      <c r="G15" s="9"/>
    </row>
    <row r="16" spans="2:7">
      <c r="B16" s="31"/>
      <c r="C16" s="1" t="str">
        <f>IFERROR(INDEX(insumos[ID], MATCH(compras[[#This Row],[Item]], insumos[item], 0)), "")</f>
        <v/>
      </c>
      <c r="E16" s="1"/>
      <c r="F16" s="1" t="str">
        <f>IFERROR(INDEX(insumos[medida], MATCH(compras[[#This Row],[Item]], insumos[item], 0)), "")</f>
        <v/>
      </c>
      <c r="G16" s="9"/>
    </row>
    <row r="17" spans="2:7">
      <c r="B17" s="31"/>
      <c r="C17" s="1" t="str">
        <f>IFERROR(INDEX(insumos[ID], MATCH(compras[[#This Row],[Item]], insumos[item], 0)), "")</f>
        <v/>
      </c>
      <c r="E17" s="1"/>
      <c r="F17" s="1" t="str">
        <f>IFERROR(INDEX(insumos[medida], MATCH(compras[[#This Row],[Item]], insumos[item], 0)), "")</f>
        <v/>
      </c>
      <c r="G17" s="9"/>
    </row>
    <row r="18" spans="2:7">
      <c r="B18" s="31"/>
      <c r="C18" s="1" t="str">
        <f>IFERROR(INDEX(insumos[ID], MATCH(compras[[#This Row],[Item]], insumos[item], 0)), "")</f>
        <v/>
      </c>
      <c r="E18" s="1"/>
      <c r="F18" s="1" t="str">
        <f>IFERROR(INDEX(insumos[medida], MATCH(compras[[#This Row],[Item]], insumos[item], 0)), "")</f>
        <v/>
      </c>
      <c r="G18" s="9"/>
    </row>
    <row r="19" spans="2:7">
      <c r="B19" s="31"/>
      <c r="C19" s="1" t="str">
        <f>IFERROR(INDEX(insumos[ID], MATCH(compras[[#This Row],[Item]], insumos[item], 0)), "")</f>
        <v/>
      </c>
      <c r="E19" s="1"/>
      <c r="F19" s="1" t="str">
        <f>IFERROR(INDEX(insumos[medida], MATCH(compras[[#This Row],[Item]], insumos[item], 0)), "")</f>
        <v/>
      </c>
      <c r="G19" s="9"/>
    </row>
    <row r="20" spans="2:7">
      <c r="B20" s="31"/>
      <c r="C20" s="1" t="str">
        <f>IFERROR(INDEX(insumos[ID], MATCH(compras[[#This Row],[Item]], insumos[item], 0)), "")</f>
        <v/>
      </c>
      <c r="E20" s="1"/>
      <c r="F20" s="1" t="str">
        <f>IFERROR(INDEX(insumos[medida], MATCH(compras[[#This Row],[Item]], insumos[item], 0)), "")</f>
        <v/>
      </c>
      <c r="G20" s="9"/>
    </row>
    <row r="21" spans="2:7">
      <c r="B21" s="31"/>
      <c r="C21" s="1" t="str">
        <f>IFERROR(INDEX(insumos[ID], MATCH(compras[[#This Row],[Item]], insumos[item], 0)), "")</f>
        <v/>
      </c>
      <c r="E21" s="1"/>
      <c r="F21" s="1" t="str">
        <f>IFERROR(INDEX(insumos[medida], MATCH(compras[[#This Row],[Item]], insumos[item], 0)), "")</f>
        <v/>
      </c>
      <c r="G21" s="9"/>
    </row>
    <row r="22" spans="2:7">
      <c r="B22" s="31"/>
      <c r="C22" s="1" t="str">
        <f>IFERROR(INDEX(insumos[ID], MATCH(compras[[#This Row],[Item]], insumos[item], 0)), "")</f>
        <v/>
      </c>
      <c r="E22" s="1"/>
      <c r="F22" s="1" t="str">
        <f>IFERROR(INDEX(insumos[medida], MATCH(compras[[#This Row],[Item]], insumos[item], 0)), "")</f>
        <v/>
      </c>
      <c r="G22" s="9"/>
    </row>
    <row r="23" spans="2:7">
      <c r="B23" s="31"/>
      <c r="C23" s="1" t="str">
        <f>IFERROR(INDEX(insumos[ID], MATCH(compras[[#This Row],[Item]], insumos[item], 0)), "")</f>
        <v/>
      </c>
      <c r="E23" s="1"/>
      <c r="F23" s="1" t="str">
        <f>IFERROR(INDEX(insumos[medida], MATCH(compras[[#This Row],[Item]], insumos[item], 0)), "")</f>
        <v/>
      </c>
      <c r="G23" s="9"/>
    </row>
    <row r="24" spans="2:7">
      <c r="B24" s="31"/>
      <c r="C24" s="1" t="str">
        <f>IFERROR(INDEX(insumos[ID], MATCH(compras[[#This Row],[Item]], insumos[item], 0)), "")</f>
        <v/>
      </c>
      <c r="E24" s="1"/>
      <c r="F24" s="1" t="str">
        <f>IFERROR(INDEX(insumos[medida], MATCH(compras[[#This Row],[Item]], insumos[item], 0)), "")</f>
        <v/>
      </c>
      <c r="G24" s="9"/>
    </row>
    <row r="25" spans="2:7">
      <c r="B25" s="31"/>
      <c r="C25" s="1" t="str">
        <f>IFERROR(INDEX(insumos[ID], MATCH(compras[[#This Row],[Item]], insumos[item], 0)), "")</f>
        <v/>
      </c>
      <c r="E25" s="1"/>
      <c r="F25" s="1" t="str">
        <f>IFERROR(INDEX(insumos[medida], MATCH(compras[[#This Row],[Item]], insumos[item], 0)), "")</f>
        <v/>
      </c>
      <c r="G25" s="9"/>
    </row>
    <row r="26" spans="2:7">
      <c r="B26" s="31"/>
      <c r="C26" s="1" t="str">
        <f>IFERROR(INDEX(insumos[ID], MATCH(compras[[#This Row],[Item]], insumos[item], 0)), "")</f>
        <v/>
      </c>
      <c r="E26" s="1"/>
      <c r="F26" s="1" t="str">
        <f>IFERROR(INDEX(insumos[medida], MATCH(compras[[#This Row],[Item]], insumos[item], 0)), "")</f>
        <v/>
      </c>
      <c r="G26" s="9"/>
    </row>
    <row r="27" spans="2:7">
      <c r="B27" s="31"/>
      <c r="C27" s="1" t="str">
        <f>IFERROR(INDEX(insumos[ID], MATCH(compras[[#This Row],[Item]], insumos[item], 0)), "")</f>
        <v/>
      </c>
      <c r="E27" s="1"/>
      <c r="F27" s="1" t="str">
        <f>IFERROR(INDEX(insumos[medida], MATCH(compras[[#This Row],[Item]], insumos[item], 0)), "")</f>
        <v/>
      </c>
      <c r="G27" s="9"/>
    </row>
    <row r="28" spans="2:7">
      <c r="B28" s="31"/>
      <c r="C28" s="1" t="str">
        <f>IFERROR(INDEX(insumos[ID], MATCH(compras[[#This Row],[Item]], insumos[item], 0)), "")</f>
        <v/>
      </c>
      <c r="E28" s="1"/>
      <c r="F28" s="1" t="str">
        <f>IFERROR(INDEX(insumos[medida], MATCH(compras[[#This Row],[Item]], insumos[item], 0)), "")</f>
        <v/>
      </c>
      <c r="G28" s="9"/>
    </row>
    <row r="29" spans="2:7">
      <c r="B29" s="31"/>
      <c r="C29" s="1" t="str">
        <f>IFERROR(INDEX(insumos[ID], MATCH(compras[[#This Row],[Item]], insumos[item], 0)), "")</f>
        <v/>
      </c>
      <c r="E29" s="1"/>
      <c r="F29" s="1" t="str">
        <f>IFERROR(INDEX(insumos[medida], MATCH(compras[[#This Row],[Item]], insumos[item], 0)), "")</f>
        <v/>
      </c>
      <c r="G29" s="9"/>
    </row>
    <row r="30" spans="2:7">
      <c r="B30" s="31"/>
      <c r="C30" s="1" t="str">
        <f>IFERROR(INDEX(insumos[ID], MATCH(compras[[#This Row],[Item]], insumos[item], 0)), "")</f>
        <v/>
      </c>
      <c r="E30" s="1"/>
      <c r="F30" s="1" t="str">
        <f>IFERROR(INDEX(insumos[medida], MATCH(compras[[#This Row],[Item]], insumos[item], 0)), "")</f>
        <v/>
      </c>
      <c r="G30" s="9"/>
    </row>
    <row r="31" spans="2:7">
      <c r="B31" s="31"/>
      <c r="C31" s="1" t="str">
        <f>IFERROR(INDEX(insumos[ID], MATCH(compras[[#This Row],[Item]], insumos[item], 0)), "")</f>
        <v/>
      </c>
      <c r="E31" s="1"/>
      <c r="F31" s="1" t="str">
        <f>IFERROR(INDEX(insumos[medida], MATCH(compras[[#This Row],[Item]], insumos[item], 0)), "")</f>
        <v/>
      </c>
      <c r="G31" s="9"/>
    </row>
    <row r="32" spans="2:7">
      <c r="B32" s="31"/>
      <c r="C32" s="1" t="str">
        <f>IFERROR(INDEX(insumos[ID], MATCH(compras[[#This Row],[Item]], insumos[item], 0)), "")</f>
        <v/>
      </c>
      <c r="E32" s="1"/>
      <c r="F32" s="1" t="str">
        <f>IFERROR(INDEX(insumos[medida], MATCH(compras[[#This Row],[Item]], insumos[item], 0)), "")</f>
        <v/>
      </c>
      <c r="G32" s="9"/>
    </row>
    <row r="33" spans="2:7">
      <c r="B33" s="31"/>
      <c r="C33" s="1" t="str">
        <f>IFERROR(INDEX(insumos[ID], MATCH(compras[[#This Row],[Item]], insumos[item], 0)), "")</f>
        <v/>
      </c>
      <c r="E33" s="1"/>
      <c r="F33" s="1" t="str">
        <f>IFERROR(INDEX(insumos[medida], MATCH(compras[[#This Row],[Item]], insumos[item], 0)), "")</f>
        <v/>
      </c>
      <c r="G33" s="9"/>
    </row>
    <row r="34" spans="2:7">
      <c r="B34" s="31"/>
      <c r="C34" s="1" t="str">
        <f>IFERROR(INDEX(insumos[ID], MATCH(compras[[#This Row],[Item]], insumos[item], 0)), "")</f>
        <v/>
      </c>
      <c r="E34" s="1"/>
      <c r="F34" s="1" t="str">
        <f>IFERROR(INDEX(insumos[medida], MATCH(compras[[#This Row],[Item]], insumos[item], 0)), "")</f>
        <v/>
      </c>
      <c r="G34" s="9"/>
    </row>
    <row r="35" spans="2:7">
      <c r="B35" s="31"/>
      <c r="C35" s="1" t="str">
        <f>IFERROR(INDEX(insumos[ID], MATCH(compras[[#This Row],[Item]], insumos[item], 0)), "")</f>
        <v/>
      </c>
      <c r="E35" s="1"/>
      <c r="F35" s="1" t="str">
        <f>IFERROR(INDEX(insumos[medida], MATCH(compras[[#This Row],[Item]], insumos[item], 0)), "")</f>
        <v/>
      </c>
      <c r="G35" s="9"/>
    </row>
    <row r="36" spans="2:7">
      <c r="B36" s="31"/>
      <c r="C36" s="1" t="str">
        <f>IFERROR(INDEX(insumos[ID], MATCH(compras[[#This Row],[Item]], insumos[item], 0)), "")</f>
        <v/>
      </c>
      <c r="E36" s="1"/>
      <c r="F36" s="1" t="str">
        <f>IFERROR(INDEX(insumos[medida], MATCH(compras[[#This Row],[Item]], insumos[item], 0)), "")</f>
        <v/>
      </c>
      <c r="G36" s="9"/>
    </row>
    <row r="37" spans="2:7">
      <c r="B37" s="31"/>
      <c r="C37" s="1" t="str">
        <f>IFERROR(INDEX(insumos[ID], MATCH(compras[[#This Row],[Item]], insumos[item], 0)), "")</f>
        <v/>
      </c>
      <c r="E37" s="1"/>
      <c r="F37" s="1" t="str">
        <f>IFERROR(INDEX(insumos[medida], MATCH(compras[[#This Row],[Item]], insumos[item], 0)), "")</f>
        <v/>
      </c>
      <c r="G37" s="9"/>
    </row>
    <row r="38" spans="2:7">
      <c r="B38" s="31"/>
      <c r="C38" s="1" t="str">
        <f>IFERROR(INDEX(insumos[ID], MATCH(compras[[#This Row],[Item]], insumos[item], 0)), "")</f>
        <v/>
      </c>
      <c r="E38" s="1"/>
      <c r="F38" s="1" t="str">
        <f>IFERROR(INDEX(insumos[medida], MATCH(compras[[#This Row],[Item]], insumos[item], 0)), "")</f>
        <v/>
      </c>
      <c r="G38" s="9"/>
    </row>
    <row r="39" spans="2:7">
      <c r="B39" s="31"/>
      <c r="C39" s="1" t="str">
        <f>IFERROR(INDEX(insumos[ID], MATCH(compras[[#This Row],[Item]], insumos[item], 0)), "")</f>
        <v/>
      </c>
      <c r="E39" s="1"/>
      <c r="F39" s="1" t="str">
        <f>IFERROR(INDEX(insumos[medida], MATCH(compras[[#This Row],[Item]], insumos[item], 0)), "")</f>
        <v/>
      </c>
      <c r="G39" s="9"/>
    </row>
    <row r="40" spans="2:7">
      <c r="B40" s="31"/>
      <c r="C40" s="1" t="str">
        <f>IFERROR(INDEX(insumos[ID], MATCH(compras[[#This Row],[Item]], insumos[item], 0)), "")</f>
        <v/>
      </c>
      <c r="E40" s="1"/>
      <c r="F40" s="1" t="str">
        <f>IFERROR(INDEX(insumos[medida], MATCH(compras[[#This Row],[Item]], insumos[item], 0)), "")</f>
        <v/>
      </c>
      <c r="G40" s="9"/>
    </row>
    <row r="41" spans="2:7">
      <c r="B41" s="31"/>
      <c r="C41" s="1" t="str">
        <f>IFERROR(INDEX(insumos[ID], MATCH(compras[[#This Row],[Item]], insumos[item], 0)), "")</f>
        <v/>
      </c>
      <c r="E41" s="1"/>
      <c r="F41" s="1" t="str">
        <f>IFERROR(INDEX(insumos[medida], MATCH(compras[[#This Row],[Item]], insumos[item], 0)), "")</f>
        <v/>
      </c>
      <c r="G41" s="9"/>
    </row>
    <row r="42" spans="2:7">
      <c r="B42" s="31"/>
      <c r="C42" s="1" t="str">
        <f>IFERROR(INDEX(insumos[ID], MATCH(compras[[#This Row],[Item]], insumos[item], 0)), "")</f>
        <v/>
      </c>
      <c r="E42" s="1"/>
      <c r="F42" s="1" t="str">
        <f>IFERROR(INDEX(insumos[medida], MATCH(compras[[#This Row],[Item]], insumos[item], 0)), "")</f>
        <v/>
      </c>
      <c r="G42" s="9"/>
    </row>
    <row r="43" spans="2:7">
      <c r="B43" s="31"/>
      <c r="C43" s="1" t="str">
        <f>IFERROR(INDEX(insumos[ID], MATCH(compras[[#This Row],[Item]], insumos[item], 0)), "")</f>
        <v/>
      </c>
      <c r="E43" s="1"/>
      <c r="F43" s="1" t="str">
        <f>IFERROR(INDEX(insumos[medida], MATCH(compras[[#This Row],[Item]], insumos[item], 0)), "")</f>
        <v/>
      </c>
      <c r="G43" s="9"/>
    </row>
    <row r="44" spans="2:7">
      <c r="B44" s="31"/>
      <c r="C44" s="1" t="str">
        <f>IFERROR(INDEX(insumos[ID], MATCH(compras[[#This Row],[Item]], insumos[item], 0)), "")</f>
        <v/>
      </c>
      <c r="E44" s="1"/>
      <c r="F44" s="1" t="str">
        <f>IFERROR(INDEX(insumos[medida], MATCH(compras[[#This Row],[Item]], insumos[item], 0)), "")</f>
        <v/>
      </c>
      <c r="G44" s="9"/>
    </row>
    <row r="45" spans="2:7">
      <c r="B45" s="31"/>
      <c r="C45" s="1" t="str">
        <f>IFERROR(INDEX(insumos[ID], MATCH(compras[[#This Row],[Item]], insumos[item], 0)), "")</f>
        <v/>
      </c>
      <c r="E45" s="1"/>
      <c r="F45" s="1" t="str">
        <f>IFERROR(INDEX(insumos[medida], MATCH(compras[[#This Row],[Item]], insumos[item], 0)), "")</f>
        <v/>
      </c>
      <c r="G45" s="9"/>
    </row>
    <row r="46" spans="2:7">
      <c r="B46" s="31"/>
      <c r="C46" s="1" t="str">
        <f>IFERROR(INDEX(insumos[ID], MATCH(compras[[#This Row],[Item]], insumos[item], 0)), "")</f>
        <v/>
      </c>
      <c r="E46" s="1"/>
      <c r="F46" s="1" t="str">
        <f>IFERROR(INDEX(insumos[medida], MATCH(compras[[#This Row],[Item]], insumos[item], 0)), "")</f>
        <v/>
      </c>
      <c r="G46" s="9"/>
    </row>
    <row r="47" spans="2:7">
      <c r="B47" s="1"/>
      <c r="C47" s="1" t="str">
        <f>IFERROR(INDEX(insumos[ID], MATCH(compras[[#This Row],[Item]], insumos[item], 0)), "")</f>
        <v/>
      </c>
      <c r="E47" s="1"/>
      <c r="F47" s="1" t="str">
        <f>IFERROR(INDEX(insumos[medida], MATCH(compras[[#This Row],[Item]], insumos[item], 0)), "")</f>
        <v/>
      </c>
      <c r="G47" s="9"/>
    </row>
    <row r="48" spans="2:7">
      <c r="B48" s="1"/>
      <c r="C48" s="1" t="str">
        <f>IFERROR(INDEX(insumos[ID], MATCH(compras[[#This Row],[Item]], insumos[item], 0)), "")</f>
        <v/>
      </c>
      <c r="E48" s="1"/>
      <c r="F48" s="1" t="str">
        <f>IFERROR(INDEX(insumos[medida], MATCH(compras[[#This Row],[Item]], insumos[item], 0)), "")</f>
        <v/>
      </c>
      <c r="G48" s="9"/>
    </row>
    <row r="49" spans="2:7">
      <c r="B49" s="1"/>
      <c r="C49" s="1" t="str">
        <f>IFERROR(INDEX(insumos[ID], MATCH(compras[[#This Row],[Item]], insumos[item], 0)), "")</f>
        <v/>
      </c>
      <c r="E49" s="1"/>
      <c r="F49" s="1" t="str">
        <f>IFERROR(INDEX(insumos[medida], MATCH(compras[[#This Row],[Item]], insumos[item], 0)), "")</f>
        <v/>
      </c>
      <c r="G49" s="9"/>
    </row>
    <row r="50" spans="2:7">
      <c r="B50" s="1"/>
      <c r="C50" s="1" t="str">
        <f>IFERROR(INDEX(insumos[ID], MATCH(compras[[#This Row],[Item]], insumos[item], 0)), "")</f>
        <v/>
      </c>
      <c r="E50" s="1"/>
      <c r="F50" s="1" t="str">
        <f>IFERROR(INDEX(insumos[medida], MATCH(compras[[#This Row],[Item]], insumos[item], 0)), "")</f>
        <v/>
      </c>
      <c r="G50" s="9"/>
    </row>
    <row r="51" spans="2:7">
      <c r="C51" t="s">
        <v>11</v>
      </c>
      <c r="E51" s="1"/>
      <c r="F51" s="1"/>
      <c r="G51" s="9">
        <f>SUBTOTAL(109,compras[Valor])</f>
        <v>0</v>
      </c>
    </row>
  </sheetData>
  <mergeCells count="1">
    <mergeCell ref="C2:G2"/>
  </mergeCells>
  <dataValidations count="2">
    <dataValidation type="list" allowBlank="1" showInputMessage="1" showErrorMessage="1" sqref="F5:F50" xr:uid="{0D325701-0DC8-4366-8E53-3C60FB8EC9DA}">
      <formula1>INDIRECT("variáveis[Medidas]")</formula1>
    </dataValidation>
    <dataValidation type="list" allowBlank="1" showInputMessage="1" showErrorMessage="1" sqref="D5:D50" xr:uid="{4F557EB4-391F-45EF-BCC8-C99DA4F3E7F4}">
      <formula1>INDIRECT("insumos[item]")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64A3-D84F-456C-ACD6-147B84B30694}">
  <sheetPr codeName="Planilha12"/>
  <dimension ref="B4:P137"/>
  <sheetViews>
    <sheetView zoomScale="83" workbookViewId="0">
      <selection activeCell="F7" sqref="F7"/>
    </sheetView>
  </sheetViews>
  <sheetFormatPr defaultRowHeight="15"/>
  <cols>
    <col min="2" max="2" width="15.7109375" customWidth="1"/>
    <col min="4" max="4" width="31.7109375" bestFit="1" customWidth="1"/>
    <col min="5" max="7" width="17" bestFit="1" customWidth="1"/>
    <col min="8" max="10" width="15.7109375" customWidth="1"/>
    <col min="11" max="11" width="15.7109375" style="1" customWidth="1"/>
    <col min="12" max="13" width="15.7109375" customWidth="1"/>
    <col min="14" max="14" width="12.7109375" bestFit="1" customWidth="1"/>
    <col min="16" max="16" width="10.7109375" bestFit="1" customWidth="1"/>
  </cols>
  <sheetData>
    <row r="4" spans="2:16" ht="30">
      <c r="B4" s="29" t="s">
        <v>79</v>
      </c>
      <c r="C4" s="1" t="s">
        <v>4</v>
      </c>
      <c r="D4" s="2" t="s">
        <v>21</v>
      </c>
      <c r="E4" s="2" t="s">
        <v>107</v>
      </c>
      <c r="F4" s="2" t="s">
        <v>108</v>
      </c>
      <c r="G4" s="2" t="s">
        <v>109</v>
      </c>
      <c r="H4" s="1" t="s">
        <v>50</v>
      </c>
      <c r="I4" s="1" t="s">
        <v>19</v>
      </c>
      <c r="J4" s="11" t="s">
        <v>68</v>
      </c>
      <c r="K4" s="1" t="s">
        <v>78</v>
      </c>
      <c r="L4" s="1" t="s">
        <v>36</v>
      </c>
      <c r="M4" s="1" t="s">
        <v>37</v>
      </c>
    </row>
    <row r="5" spans="2:16">
      <c r="B5" s="30"/>
      <c r="C5" s="1" t="str">
        <f>IFERROR(INDEX(CaProdutos[ID], MATCH(vendas[[#This Row],[Item]], CaProdutos[Item], 0)), "")</f>
        <v/>
      </c>
      <c r="H5" s="1"/>
      <c r="I5" s="28"/>
      <c r="J5" s="33"/>
      <c r="K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" s="17" t="str">
        <f>IFERROR(vendas[[#This Row],[Lucro Bruto]] - ConfPrec[Rateio de Custos Fixos] * vendas[[#This Row],[Qtd.]], "")</f>
        <v/>
      </c>
      <c r="P5" s="43"/>
    </row>
    <row r="6" spans="2:16">
      <c r="B6" s="30"/>
      <c r="C6" s="32" t="str">
        <f>IFERROR(INDEX(CaProdutos[ID], MATCH(vendas[[#This Row],[Item]], CaProdutos[Item], 0)), "")</f>
        <v/>
      </c>
      <c r="H6" s="1"/>
      <c r="I6" s="28"/>
      <c r="J6" s="33"/>
      <c r="K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" s="17" t="str">
        <f>IFERROR(vendas[[#This Row],[Lucro Bruto]] - ConfPrec[Rateio de Custos Fixos] * vendas[[#This Row],[Qtd.]], "")</f>
        <v/>
      </c>
      <c r="P6" s="43"/>
    </row>
    <row r="7" spans="2:16">
      <c r="B7" s="30"/>
      <c r="C7" s="32" t="str">
        <f>IFERROR(INDEX(CaProdutos[ID], MATCH(vendas[[#This Row],[Item]], CaProdutos[Item], 0)), "")</f>
        <v/>
      </c>
      <c r="H7" s="1"/>
      <c r="I7" s="28"/>
      <c r="J7" s="33"/>
      <c r="K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" s="17" t="str">
        <f>IFERROR(vendas[[#This Row],[Lucro Bruto]] - ConfPrec[Rateio de Custos Fixos] * vendas[[#This Row],[Qtd.]], "")</f>
        <v/>
      </c>
      <c r="P7" s="43"/>
    </row>
    <row r="8" spans="2:16">
      <c r="B8" s="30"/>
      <c r="C8" s="32" t="str">
        <f>IFERROR(INDEX(CaProdutos[ID], MATCH(vendas[[#This Row],[Item]], CaProdutos[Item], 0)), "")</f>
        <v/>
      </c>
      <c r="H8" s="1"/>
      <c r="I8" s="28"/>
      <c r="J8" s="33"/>
      <c r="K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" s="17" t="str">
        <f>IFERROR(vendas[[#This Row],[Lucro Bruto]] - ConfPrec[Rateio de Custos Fixos] * vendas[[#This Row],[Qtd.]], "")</f>
        <v/>
      </c>
      <c r="P8" s="43"/>
    </row>
    <row r="9" spans="2:16">
      <c r="B9" s="30"/>
      <c r="C9" s="32" t="str">
        <f>IFERROR(INDEX(CaProdutos[ID], MATCH(vendas[[#This Row],[Item]], CaProdutos[Item], 0)), "")</f>
        <v/>
      </c>
      <c r="H9" s="1"/>
      <c r="I9" s="28"/>
      <c r="J9" s="33"/>
      <c r="K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" s="17" t="str">
        <f>IFERROR(vendas[[#This Row],[Lucro Bruto]] - ConfPrec[Rateio de Custos Fixos] * vendas[[#This Row],[Qtd.]], "")</f>
        <v/>
      </c>
      <c r="P9" s="43"/>
    </row>
    <row r="10" spans="2:16">
      <c r="B10" s="30"/>
      <c r="C10" s="32" t="str">
        <f>IFERROR(INDEX(CaProdutos[ID], MATCH(vendas[[#This Row],[Item]], CaProdutos[Item], 0)), "")</f>
        <v/>
      </c>
      <c r="H10" s="1"/>
      <c r="I10" s="28"/>
      <c r="J10" s="33"/>
      <c r="K1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" s="17" t="str">
        <f>IFERROR(vendas[[#This Row],[Lucro Bruto]] - ConfPrec[Rateio de Custos Fixos] * vendas[[#This Row],[Qtd.]], "")</f>
        <v/>
      </c>
      <c r="P10" s="43"/>
    </row>
    <row r="11" spans="2:16">
      <c r="B11" s="30"/>
      <c r="C11" s="32" t="str">
        <f>IFERROR(INDEX(CaProdutos[ID], MATCH(vendas[[#This Row],[Item]], CaProdutos[Item], 0)), "")</f>
        <v/>
      </c>
      <c r="H11" s="1"/>
      <c r="I11" s="28"/>
      <c r="J11" s="33"/>
      <c r="K1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" s="17" t="str">
        <f>IFERROR(vendas[[#This Row],[Lucro Bruto]] - ConfPrec[Rateio de Custos Fixos] * vendas[[#This Row],[Qtd.]], "")</f>
        <v/>
      </c>
      <c r="P11" s="43"/>
    </row>
    <row r="12" spans="2:16">
      <c r="B12" s="30"/>
      <c r="C12" s="32" t="str">
        <f>IFERROR(INDEX(CaProdutos[ID], MATCH(vendas[[#This Row],[Item]], CaProdutos[Item], 0)), "")</f>
        <v/>
      </c>
      <c r="H12" s="1"/>
      <c r="I12" s="28"/>
      <c r="J12" s="33"/>
      <c r="K1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" s="17" t="str">
        <f>IFERROR(vendas[[#This Row],[Lucro Bruto]] - ConfPrec[Rateio de Custos Fixos] * vendas[[#This Row],[Qtd.]], "")</f>
        <v/>
      </c>
      <c r="P12" s="43"/>
    </row>
    <row r="13" spans="2:16">
      <c r="B13" s="30"/>
      <c r="C13" s="32" t="str">
        <f>IFERROR(INDEX(CaProdutos[ID], MATCH(vendas[[#This Row],[Item]], CaProdutos[Item], 0)), "")</f>
        <v/>
      </c>
      <c r="H13" s="1"/>
      <c r="I13" s="28"/>
      <c r="J13" s="33"/>
      <c r="K1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" s="17" t="str">
        <f>IFERROR(vendas[[#This Row],[Lucro Bruto]] - ConfPrec[Rateio de Custos Fixos] * vendas[[#This Row],[Qtd.]], "")</f>
        <v/>
      </c>
      <c r="P13" s="43"/>
    </row>
    <row r="14" spans="2:16">
      <c r="B14" s="30"/>
      <c r="C14" s="32" t="str">
        <f>IFERROR(INDEX(CaProdutos[ID], MATCH(vendas[[#This Row],[Item]], CaProdutos[Item], 0)), "")</f>
        <v/>
      </c>
      <c r="H14" s="1"/>
      <c r="I14" s="28"/>
      <c r="J14" s="33"/>
      <c r="K1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4" s="17" t="str">
        <f>IFERROR(vendas[[#This Row],[Lucro Bruto]] - ConfPrec[Rateio de Custos Fixos] * vendas[[#This Row],[Qtd.]], "")</f>
        <v/>
      </c>
      <c r="P14" s="43"/>
    </row>
    <row r="15" spans="2:16">
      <c r="B15" s="30"/>
      <c r="C15" s="32" t="str">
        <f>IFERROR(INDEX(CaProdutos[ID], MATCH(vendas[[#This Row],[Item]], CaProdutos[Item], 0)), "")</f>
        <v/>
      </c>
      <c r="H15" s="1"/>
      <c r="I15" s="28"/>
      <c r="J15" s="33"/>
      <c r="K1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5" s="17" t="str">
        <f>IFERROR(vendas[[#This Row],[Lucro Bruto]] - ConfPrec[Rateio de Custos Fixos] * vendas[[#This Row],[Qtd.]], "")</f>
        <v/>
      </c>
      <c r="P15" s="43"/>
    </row>
    <row r="16" spans="2:16">
      <c r="B16" s="30"/>
      <c r="C16" s="32" t="str">
        <f>IFERROR(INDEX(CaProdutos[ID], MATCH(vendas[[#This Row],[Item]], CaProdutos[Item], 0)), "")</f>
        <v/>
      </c>
      <c r="H16" s="1"/>
      <c r="I16" s="28"/>
      <c r="J16" s="33"/>
      <c r="K1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6" s="17" t="str">
        <f>IFERROR(vendas[[#This Row],[Lucro Bruto]] - ConfPrec[Rateio de Custos Fixos] * vendas[[#This Row],[Qtd.]], "")</f>
        <v/>
      </c>
      <c r="P16" s="43"/>
    </row>
    <row r="17" spans="2:16">
      <c r="B17" s="30"/>
      <c r="C17" s="1" t="str">
        <f>IFERROR(INDEX(CaProdutos[ID], MATCH(vendas[[#This Row],[Item]], CaProdutos[Item], 0)), "")</f>
        <v/>
      </c>
      <c r="H17" s="1"/>
      <c r="I17" s="28"/>
      <c r="J17" s="33"/>
      <c r="K1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7" s="17" t="str">
        <f>IFERROR(vendas[[#This Row],[Lucro Bruto]] - ConfPrec[Rateio de Custos Fixos] * vendas[[#This Row],[Qtd.]], "")</f>
        <v/>
      </c>
      <c r="P17" s="43"/>
    </row>
    <row r="18" spans="2:16">
      <c r="B18" s="30"/>
      <c r="C18" s="1" t="str">
        <f>IFERROR(INDEX(CaProdutos[ID], MATCH(vendas[[#This Row],[Item]], CaProdutos[Item], 0)), "")</f>
        <v/>
      </c>
      <c r="H18" s="1"/>
      <c r="I18" s="28"/>
      <c r="J18" s="33"/>
      <c r="K1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8" s="17" t="str">
        <f>IFERROR(vendas[[#This Row],[Lucro Bruto]] - ConfPrec[Rateio de Custos Fixos] * vendas[[#This Row],[Qtd.]], "")</f>
        <v/>
      </c>
      <c r="P18" s="43"/>
    </row>
    <row r="19" spans="2:16">
      <c r="B19" s="30"/>
      <c r="C19" s="1" t="str">
        <f>IFERROR(INDEX(CaProdutos[ID], MATCH(vendas[[#This Row],[Item]], CaProdutos[Item], 0)), "")</f>
        <v/>
      </c>
      <c r="H19" s="1"/>
      <c r="I19" s="28"/>
      <c r="J19" s="33"/>
      <c r="K1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9" s="17" t="str">
        <f>IFERROR(vendas[[#This Row],[Lucro Bruto]] - ConfPrec[Rateio de Custos Fixos] * vendas[[#This Row],[Qtd.]], "")</f>
        <v/>
      </c>
      <c r="P19" s="43"/>
    </row>
    <row r="20" spans="2:16">
      <c r="B20" s="30"/>
      <c r="C20" s="1" t="str">
        <f>IFERROR(INDEX(CaProdutos[ID], MATCH(vendas[[#This Row],[Item]], CaProdutos[Item], 0)), "")</f>
        <v/>
      </c>
      <c r="H20" s="1"/>
      <c r="I20" s="28"/>
      <c r="J20" s="33"/>
      <c r="K2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0" s="17" t="str">
        <f>IFERROR(vendas[[#This Row],[Lucro Bruto]] - ConfPrec[Rateio de Custos Fixos] * vendas[[#This Row],[Qtd.]], "")</f>
        <v/>
      </c>
      <c r="P20" s="43"/>
    </row>
    <row r="21" spans="2:16">
      <c r="B21" s="30"/>
      <c r="C21" s="1" t="str">
        <f>IFERROR(INDEX(CaProdutos[ID], MATCH(vendas[[#This Row],[Item]], CaProdutos[Item], 0)), "")</f>
        <v/>
      </c>
      <c r="H21" s="1"/>
      <c r="I21" s="28"/>
      <c r="J21" s="33"/>
      <c r="K2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1" s="17" t="str">
        <f>IFERROR(vendas[[#This Row],[Lucro Bruto]] - ConfPrec[Rateio de Custos Fixos] * vendas[[#This Row],[Qtd.]], "")</f>
        <v/>
      </c>
      <c r="P21" s="43"/>
    </row>
    <row r="22" spans="2:16">
      <c r="B22" s="30"/>
      <c r="C22" s="1" t="str">
        <f>IFERROR(INDEX(CaProdutos[ID], MATCH(vendas[[#This Row],[Item]], CaProdutos[Item], 0)), "")</f>
        <v/>
      </c>
      <c r="H22" s="1"/>
      <c r="I22" s="28"/>
      <c r="J22" s="33"/>
      <c r="K2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2" s="17" t="str">
        <f>IFERROR(vendas[[#This Row],[Lucro Bruto]] - ConfPrec[Rateio de Custos Fixos] * vendas[[#This Row],[Qtd.]], "")</f>
        <v/>
      </c>
      <c r="P22" s="43"/>
    </row>
    <row r="23" spans="2:16">
      <c r="B23" s="30"/>
      <c r="C23" s="1" t="str">
        <f>IFERROR(INDEX(CaProdutos[ID], MATCH(vendas[[#This Row],[Item]], CaProdutos[Item], 0)), "")</f>
        <v/>
      </c>
      <c r="H23" s="1"/>
      <c r="I23" s="28"/>
      <c r="J23" s="33"/>
      <c r="K2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3" s="17" t="str">
        <f>IFERROR(vendas[[#This Row],[Lucro Bruto]] - ConfPrec[Rateio de Custos Fixos] * vendas[[#This Row],[Qtd.]], "")</f>
        <v/>
      </c>
      <c r="P23" s="43"/>
    </row>
    <row r="24" spans="2:16">
      <c r="B24" s="30"/>
      <c r="C24" s="1" t="str">
        <f>IFERROR(INDEX(CaProdutos[ID], MATCH(vendas[[#This Row],[Item]], CaProdutos[Item], 0)), "")</f>
        <v/>
      </c>
      <c r="H24" s="1"/>
      <c r="I24" s="28"/>
      <c r="J24" s="33"/>
      <c r="K2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4" s="17" t="str">
        <f>IFERROR(vendas[[#This Row],[Lucro Bruto]] - ConfPrec[Rateio de Custos Fixos] * vendas[[#This Row],[Qtd.]], "")</f>
        <v/>
      </c>
      <c r="P24" s="43"/>
    </row>
    <row r="25" spans="2:16">
      <c r="B25" s="30"/>
      <c r="C25" s="1" t="str">
        <f>IFERROR(INDEX(CaProdutos[ID], MATCH(vendas[[#This Row],[Item]], CaProdutos[Item], 0)), "")</f>
        <v/>
      </c>
      <c r="H25" s="1"/>
      <c r="I25" s="28"/>
      <c r="J25" s="33"/>
      <c r="K2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5" s="17" t="str">
        <f>IFERROR(vendas[[#This Row],[Lucro Bruto]] - ConfPrec[Rateio de Custos Fixos] * vendas[[#This Row],[Qtd.]], "")</f>
        <v/>
      </c>
      <c r="P25" s="43"/>
    </row>
    <row r="26" spans="2:16">
      <c r="B26" s="30"/>
      <c r="C26" s="32" t="str">
        <f>IFERROR(INDEX(CaProdutos[ID], MATCH(vendas[[#This Row],[Item]], CaProdutos[Item], 0)), "")</f>
        <v/>
      </c>
      <c r="H26" s="1"/>
      <c r="I26" s="28"/>
      <c r="J26" s="33"/>
      <c r="K2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6" s="17" t="str">
        <f>IFERROR(vendas[[#This Row],[Lucro Bruto]] - ConfPrec[Rateio de Custos Fixos] * vendas[[#This Row],[Qtd.]], "")</f>
        <v/>
      </c>
      <c r="P26" s="43"/>
    </row>
    <row r="27" spans="2:16">
      <c r="B27" s="30"/>
      <c r="C27" s="1" t="str">
        <f>IFERROR(INDEX(CaProdutos[ID], MATCH(vendas[[#This Row],[Item]], CaProdutos[Item], 0)), "")</f>
        <v/>
      </c>
      <c r="H27" s="1"/>
      <c r="I27" s="28"/>
      <c r="J27" s="33"/>
      <c r="K2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7" s="17" t="str">
        <f>IFERROR(vendas[[#This Row],[Lucro Bruto]] - ConfPrec[Rateio de Custos Fixos] * vendas[[#This Row],[Qtd.]], "")</f>
        <v/>
      </c>
      <c r="P27" s="43"/>
    </row>
    <row r="28" spans="2:16">
      <c r="B28" s="30"/>
      <c r="C28" s="1" t="str">
        <f>IFERROR(INDEX(CaProdutos[ID], MATCH(vendas[[#This Row],[Item]], CaProdutos[Item], 0)), "")</f>
        <v/>
      </c>
      <c r="H28" s="1"/>
      <c r="I28" s="28"/>
      <c r="J28" s="33"/>
      <c r="K2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8" s="17" t="str">
        <f>IFERROR(vendas[[#This Row],[Lucro Bruto]] - ConfPrec[Rateio de Custos Fixos] * vendas[[#This Row],[Qtd.]], "")</f>
        <v/>
      </c>
      <c r="P28" s="43"/>
    </row>
    <row r="29" spans="2:16">
      <c r="B29" s="30"/>
      <c r="C29" s="1" t="str">
        <f>IFERROR(INDEX(CaProdutos[ID], MATCH(vendas[[#This Row],[Item]], CaProdutos[Item], 0)), "")</f>
        <v/>
      </c>
      <c r="H29" s="1"/>
      <c r="I29" s="28"/>
      <c r="J29" s="33"/>
      <c r="K2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9" s="17" t="str">
        <f>IFERROR(vendas[[#This Row],[Lucro Bruto]] - ConfPrec[Rateio de Custos Fixos] * vendas[[#This Row],[Qtd.]], "")</f>
        <v/>
      </c>
      <c r="P29" s="43"/>
    </row>
    <row r="30" spans="2:16">
      <c r="B30" s="30"/>
      <c r="C30" s="1" t="str">
        <f>IFERROR(INDEX(CaProdutos[ID], MATCH(vendas[[#This Row],[Item]], CaProdutos[Item], 0)), "")</f>
        <v/>
      </c>
      <c r="H30" s="1"/>
      <c r="I30" s="28"/>
      <c r="J30" s="33"/>
      <c r="K3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0" s="17" t="str">
        <f>IFERROR(vendas[[#This Row],[Lucro Bruto]] - ConfPrec[Rateio de Custos Fixos] * vendas[[#This Row],[Qtd.]], "")</f>
        <v/>
      </c>
      <c r="P30" s="43"/>
    </row>
    <row r="31" spans="2:16">
      <c r="B31" s="30"/>
      <c r="C31" s="1" t="str">
        <f>IFERROR(INDEX(CaProdutos[ID], MATCH(vendas[[#This Row],[Item]], CaProdutos[Item], 0)), "")</f>
        <v/>
      </c>
      <c r="F31" t="s">
        <v>95</v>
      </c>
      <c r="G31" t="s">
        <v>89</v>
      </c>
      <c r="H31" s="1"/>
      <c r="I31" s="28"/>
      <c r="J31" s="33"/>
      <c r="K3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1" s="17" t="str">
        <f>IFERROR(vendas[[#This Row],[Lucro Bruto]] - ConfPrec[Rateio de Custos Fixos] * vendas[[#This Row],[Qtd.]], "")</f>
        <v/>
      </c>
      <c r="P31" s="43"/>
    </row>
    <row r="32" spans="2:16">
      <c r="B32" s="40"/>
      <c r="C32" s="32" t="str">
        <f>IFERROR(INDEX(CaProdutos[ID], MATCH(vendas[[#This Row],[Item]], CaProdutos[Item], 0)), "")</f>
        <v/>
      </c>
      <c r="H32" s="1"/>
      <c r="I32" s="28"/>
      <c r="J32" s="33"/>
      <c r="K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2" s="17" t="str">
        <f>IFERROR(vendas[[#This Row],[Lucro Bruto]] - ConfPrec[Rateio de Custos Fixos] * vendas[[#This Row],[Qtd.]], "")</f>
        <v/>
      </c>
      <c r="P32" s="43"/>
    </row>
    <row r="33" spans="2:16">
      <c r="B33" s="40"/>
      <c r="C33" s="32" t="str">
        <f>IFERROR(INDEX(CaProdutos[ID], MATCH(vendas[[#This Row],[Item]], CaProdutos[Item], 0)), "")</f>
        <v/>
      </c>
      <c r="H33" s="1"/>
      <c r="I33" s="28"/>
      <c r="J33" s="33"/>
      <c r="K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3" s="17" t="str">
        <f>IFERROR(vendas[[#This Row],[Lucro Bruto]] - ConfPrec[Rateio de Custos Fixos] * vendas[[#This Row],[Qtd.]], "")</f>
        <v/>
      </c>
      <c r="P33" s="43"/>
    </row>
    <row r="34" spans="2:16">
      <c r="B34" s="40"/>
      <c r="C34" s="32" t="str">
        <f>IFERROR(INDEX(CaProdutos[ID], MATCH(vendas[[#This Row],[Item]], CaProdutos[Item], 0)), "")</f>
        <v/>
      </c>
      <c r="H34" s="1"/>
      <c r="I34" s="28"/>
      <c r="J34" s="33"/>
      <c r="K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4" s="17" t="str">
        <f>IFERROR(vendas[[#This Row],[Lucro Bruto]] - ConfPrec[Rateio de Custos Fixos] * vendas[[#This Row],[Qtd.]], "")</f>
        <v/>
      </c>
      <c r="P34" s="43"/>
    </row>
    <row r="35" spans="2:16">
      <c r="B35" s="40"/>
      <c r="C35" s="32" t="str">
        <f>IFERROR(INDEX(CaProdutos[ID], MATCH(vendas[[#This Row],[Item]], CaProdutos[Item], 0)), "")</f>
        <v/>
      </c>
      <c r="H35" s="1"/>
      <c r="I35" s="28"/>
      <c r="J35" s="33"/>
      <c r="K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5" s="17" t="str">
        <f>IFERROR(vendas[[#This Row],[Lucro Bruto]] - ConfPrec[Rateio de Custos Fixos] * vendas[[#This Row],[Qtd.]], "")</f>
        <v/>
      </c>
      <c r="P35" s="43"/>
    </row>
    <row r="36" spans="2:16">
      <c r="B36" s="40"/>
      <c r="C36" s="32" t="str">
        <f>IFERROR(INDEX(CaProdutos[ID], MATCH(vendas[[#This Row],[Item]], CaProdutos[Item], 0)), "")</f>
        <v/>
      </c>
      <c r="H36" s="1"/>
      <c r="I36" s="28"/>
      <c r="J36" s="33"/>
      <c r="K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6" s="17" t="str">
        <f>IFERROR(vendas[[#This Row],[Lucro Bruto]] - ConfPrec[Rateio de Custos Fixos] * vendas[[#This Row],[Qtd.]], "")</f>
        <v/>
      </c>
      <c r="P36" s="43"/>
    </row>
    <row r="37" spans="2:16">
      <c r="B37" s="40"/>
      <c r="C37" s="32" t="str">
        <f>IFERROR(INDEX(CaProdutos[ID], MATCH(vendas[[#This Row],[Item]], CaProdutos[Item], 0)), "")</f>
        <v/>
      </c>
      <c r="F37" t="s">
        <v>95</v>
      </c>
      <c r="G37" t="s">
        <v>89</v>
      </c>
      <c r="H37" s="1"/>
      <c r="I37" s="28"/>
      <c r="J37" s="33"/>
      <c r="K3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7" s="17" t="str">
        <f>IFERROR(vendas[[#This Row],[Lucro Bruto]] - ConfPrec[Rateio de Custos Fixos] * vendas[[#This Row],[Qtd.]], "")</f>
        <v/>
      </c>
    </row>
    <row r="38" spans="2:16">
      <c r="B38" s="40"/>
      <c r="C38" s="32" t="str">
        <f>IFERROR(INDEX(CaProdutos[ID], MATCH(vendas[[#This Row],[Item]], CaProdutos[Item], 0)), "")</f>
        <v/>
      </c>
      <c r="H38" s="1"/>
      <c r="I38" s="28"/>
      <c r="J38" s="33"/>
      <c r="K3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8" s="17" t="str">
        <f>IFERROR(vendas[[#This Row],[Lucro Bruto]] - ConfPrec[Rateio de Custos Fixos] * vendas[[#This Row],[Qtd.]], "")</f>
        <v/>
      </c>
    </row>
    <row r="39" spans="2:16">
      <c r="B39" s="40"/>
      <c r="C39" s="32" t="str">
        <f>IFERROR(INDEX(CaProdutos[ID], MATCH(vendas[[#This Row],[Item]], CaProdutos[Item], 0)), "")</f>
        <v/>
      </c>
      <c r="H39" s="1"/>
      <c r="I39" s="28"/>
      <c r="J39" s="33"/>
      <c r="K3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9" s="17" t="str">
        <f>IFERROR(vendas[[#This Row],[Lucro Bruto]] - ConfPrec[Rateio de Custos Fixos] * vendas[[#This Row],[Qtd.]], "")</f>
        <v/>
      </c>
    </row>
    <row r="40" spans="2:16">
      <c r="B40" s="40"/>
      <c r="C40" s="32" t="str">
        <f>IFERROR(INDEX(CaProdutos[ID], MATCH(vendas[[#This Row],[Item]], CaProdutos[Item], 0)), "")</f>
        <v/>
      </c>
      <c r="H40" s="1"/>
      <c r="I40" s="28"/>
      <c r="J40" s="33"/>
      <c r="K4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0" s="17" t="str">
        <f>IFERROR(vendas[[#This Row],[Lucro Bruto]] - ConfPrec[Rateio de Custos Fixos] * vendas[[#This Row],[Qtd.]], "")</f>
        <v/>
      </c>
    </row>
    <row r="41" spans="2:16">
      <c r="B41" s="40"/>
      <c r="C41" s="32" t="str">
        <f>IFERROR(INDEX(CaProdutos[ID], MATCH(vendas[[#This Row],[Item]], CaProdutos[Item], 0)), "")</f>
        <v/>
      </c>
      <c r="H41" s="1"/>
      <c r="I41" s="28"/>
      <c r="J41" s="33"/>
      <c r="K4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1" s="17" t="str">
        <f>IFERROR(vendas[[#This Row],[Lucro Bruto]] - ConfPrec[Rateio de Custos Fixos] * vendas[[#This Row],[Qtd.]], "")</f>
        <v/>
      </c>
    </row>
    <row r="42" spans="2:16">
      <c r="B42" s="40"/>
      <c r="C42" s="32" t="str">
        <f>IFERROR(INDEX(CaProdutos[ID], MATCH(vendas[[#This Row],[Item]], CaProdutos[Item], 0)), "")</f>
        <v/>
      </c>
      <c r="H42" s="1"/>
      <c r="I42" s="28"/>
      <c r="J42" s="33"/>
      <c r="K4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2" s="17" t="str">
        <f>IFERROR(vendas[[#This Row],[Lucro Bruto]] - ConfPrec[Rateio de Custos Fixos] * vendas[[#This Row],[Qtd.]], "")</f>
        <v/>
      </c>
    </row>
    <row r="43" spans="2:16">
      <c r="B43" s="40"/>
      <c r="C43" s="32" t="str">
        <f>IFERROR(INDEX(CaProdutos[ID], MATCH(vendas[[#This Row],[Item]], CaProdutos[Item], 0)), "")</f>
        <v/>
      </c>
      <c r="H43" s="1"/>
      <c r="I43" s="28"/>
      <c r="J43" s="33"/>
      <c r="K4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3" s="17" t="str">
        <f>IFERROR(vendas[[#This Row],[Lucro Bruto]] - ConfPrec[Rateio de Custos Fixos] * vendas[[#This Row],[Qtd.]], "")</f>
        <v/>
      </c>
    </row>
    <row r="44" spans="2:16">
      <c r="B44" s="40"/>
      <c r="C44" s="32" t="str">
        <f>IFERROR(INDEX(CaProdutos[ID], MATCH(vendas[[#This Row],[Item]], CaProdutos[Item], 0)), "")</f>
        <v/>
      </c>
      <c r="H44" s="1"/>
      <c r="I44" s="28"/>
      <c r="J44" s="33"/>
      <c r="K4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4" s="17" t="str">
        <f>IFERROR(vendas[[#This Row],[Lucro Bruto]] - ConfPrec[Rateio de Custos Fixos] * vendas[[#This Row],[Qtd.]], "")</f>
        <v/>
      </c>
    </row>
    <row r="45" spans="2:16">
      <c r="B45" s="40"/>
      <c r="C45" s="32" t="str">
        <f>IFERROR(INDEX(CaProdutos[ID], MATCH(vendas[[#This Row],[Item]], CaProdutos[Item], 0)), "")</f>
        <v/>
      </c>
      <c r="H45" s="1"/>
      <c r="I45" s="28"/>
      <c r="J45" s="33"/>
      <c r="K4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5" s="17" t="str">
        <f>IFERROR(vendas[[#This Row],[Lucro Bruto]] - ConfPrec[Rateio de Custos Fixos] * vendas[[#This Row],[Qtd.]], "")</f>
        <v/>
      </c>
    </row>
    <row r="46" spans="2:16">
      <c r="B46" s="40"/>
      <c r="C46" s="32" t="str">
        <f>IFERROR(INDEX(CaProdutos[ID], MATCH(vendas[[#This Row],[Item]], CaProdutos[Item], 0)), "")</f>
        <v/>
      </c>
      <c r="H46" s="1"/>
      <c r="I46" s="28"/>
      <c r="J46" s="33"/>
      <c r="K4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6" s="17" t="str">
        <f>IFERROR(vendas[[#This Row],[Lucro Bruto]] - ConfPrec[Rateio de Custos Fixos] * vendas[[#This Row],[Qtd.]], "")</f>
        <v/>
      </c>
    </row>
    <row r="47" spans="2:16">
      <c r="B47" s="40"/>
      <c r="C47" s="32" t="str">
        <f>IFERROR(INDEX(CaProdutos[ID], MATCH(vendas[[#This Row],[Item]], CaProdutos[Item], 0)), "")</f>
        <v/>
      </c>
      <c r="H47" s="1"/>
      <c r="I47" s="28"/>
      <c r="J47" s="33"/>
      <c r="K4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7" s="17" t="str">
        <f>IFERROR(vendas[[#This Row],[Lucro Bruto]] - ConfPrec[Rateio de Custos Fixos] * vendas[[#This Row],[Qtd.]], "")</f>
        <v/>
      </c>
    </row>
    <row r="48" spans="2:16">
      <c r="B48" s="40"/>
      <c r="C48" s="32" t="str">
        <f>IFERROR(INDEX(CaProdutos[ID], MATCH(vendas[[#This Row],[Item]], CaProdutos[Item], 0)), "")</f>
        <v/>
      </c>
      <c r="H48" s="1"/>
      <c r="I48" s="28"/>
      <c r="J48" s="33"/>
      <c r="K4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8" s="17" t="str">
        <f>IFERROR(vendas[[#This Row],[Lucro Bruto]] - ConfPrec[Rateio de Custos Fixos] * vendas[[#This Row],[Qtd.]], "")</f>
        <v/>
      </c>
    </row>
    <row r="49" spans="2:13">
      <c r="B49" s="40"/>
      <c r="C49" s="32" t="str">
        <f>IFERROR(INDEX(CaProdutos[ID], MATCH(vendas[[#This Row],[Item]], CaProdutos[Item], 0)), "")</f>
        <v/>
      </c>
      <c r="F49" t="s">
        <v>90</v>
      </c>
      <c r="H49" s="1"/>
      <c r="I49" s="28"/>
      <c r="J49" s="33"/>
      <c r="K4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9" s="17" t="str">
        <f>IFERROR(vendas[[#This Row],[Lucro Bruto]] - ConfPrec[Rateio de Custos Fixos] * vendas[[#This Row],[Qtd.]], "")</f>
        <v/>
      </c>
    </row>
    <row r="50" spans="2:13">
      <c r="B50" s="40"/>
      <c r="C50" s="32" t="str">
        <f>IFERROR(INDEX(CaProdutos[ID], MATCH(vendas[[#This Row],[Item]], CaProdutos[Item], 0)), "")</f>
        <v/>
      </c>
      <c r="H50" s="1"/>
      <c r="I50" s="28"/>
      <c r="J50" s="33"/>
      <c r="K5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0" s="17" t="str">
        <f>IFERROR(vendas[[#This Row],[Lucro Bruto]] - ConfPrec[Rateio de Custos Fixos] * vendas[[#This Row],[Qtd.]], "")</f>
        <v/>
      </c>
    </row>
    <row r="51" spans="2:13">
      <c r="B51" s="40"/>
      <c r="C51" s="32" t="str">
        <f>IFERROR(INDEX(CaProdutos[ID], MATCH(vendas[[#This Row],[Item]], CaProdutos[Item], 0)), "")</f>
        <v/>
      </c>
      <c r="H51" s="1"/>
      <c r="I51" s="28"/>
      <c r="J51" s="33"/>
      <c r="K5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1" s="17" t="str">
        <f>IFERROR(vendas[[#This Row],[Lucro Bruto]] - ConfPrec[Rateio de Custos Fixos] * vendas[[#This Row],[Qtd.]], "")</f>
        <v/>
      </c>
    </row>
    <row r="52" spans="2:13">
      <c r="B52" s="40"/>
      <c r="C52" s="32" t="str">
        <f>IFERROR(INDEX(CaProdutos[ID], MATCH(vendas[[#This Row],[Item]], CaProdutos[Item], 0)), "")</f>
        <v/>
      </c>
      <c r="H52" s="1"/>
      <c r="I52" s="28"/>
      <c r="J52" s="33"/>
      <c r="K5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2" s="17" t="str">
        <f>IFERROR(vendas[[#This Row],[Lucro Bruto]] - ConfPrec[Rateio de Custos Fixos] * vendas[[#This Row],[Qtd.]], "")</f>
        <v/>
      </c>
    </row>
    <row r="53" spans="2:13">
      <c r="B53" s="40"/>
      <c r="C53" s="32" t="str">
        <f>IFERROR(INDEX(CaProdutos[ID], MATCH(vendas[[#This Row],[Item]], CaProdutos[Item], 0)), "")</f>
        <v/>
      </c>
      <c r="H53" s="1"/>
      <c r="I53" s="28"/>
      <c r="J53" s="33"/>
      <c r="K5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3" s="17" t="str">
        <f>IFERROR(vendas[[#This Row],[Lucro Bruto]] - ConfPrec[Rateio de Custos Fixos] * vendas[[#This Row],[Qtd.]], "")</f>
        <v/>
      </c>
    </row>
    <row r="54" spans="2:13">
      <c r="B54" s="40"/>
      <c r="C54" s="32" t="str">
        <f>IFERROR(INDEX(CaProdutos[ID], MATCH(vendas[[#This Row],[Item]], CaProdutos[Item], 0)), "")</f>
        <v/>
      </c>
      <c r="H54" s="1"/>
      <c r="I54" s="28"/>
      <c r="J54" s="33"/>
      <c r="K5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4" s="17" t="str">
        <f>IFERROR(vendas[[#This Row],[Lucro Bruto]] - ConfPrec[Rateio de Custos Fixos] * vendas[[#This Row],[Qtd.]], "")</f>
        <v/>
      </c>
    </row>
    <row r="55" spans="2:13">
      <c r="B55" s="40"/>
      <c r="C55" s="32" t="str">
        <f>IFERROR(INDEX(CaProdutos[ID], MATCH(vendas[[#This Row],[Item]], CaProdutos[Item], 0)), "")</f>
        <v/>
      </c>
      <c r="H55" s="1"/>
      <c r="I55" s="28"/>
      <c r="J55" s="33"/>
      <c r="K5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5" s="17" t="str">
        <f>IFERROR(vendas[[#This Row],[Lucro Bruto]] - ConfPrec[Rateio de Custos Fixos] * vendas[[#This Row],[Qtd.]], "")</f>
        <v/>
      </c>
    </row>
    <row r="56" spans="2:13">
      <c r="B56" s="40"/>
      <c r="C56" s="32" t="str">
        <f>IFERROR(INDEX(CaProdutos[ID], MATCH(vendas[[#This Row],[Item]], CaProdutos[Item], 0)), "")</f>
        <v/>
      </c>
      <c r="H56" s="1"/>
      <c r="I56" s="28"/>
      <c r="J56" s="33"/>
      <c r="K5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6" s="17" t="str">
        <f>IFERROR(vendas[[#This Row],[Lucro Bruto]] - ConfPrec[Rateio de Custos Fixos] * vendas[[#This Row],[Qtd.]], "")</f>
        <v/>
      </c>
    </row>
    <row r="57" spans="2:13">
      <c r="B57" s="40"/>
      <c r="C57" s="32" t="str">
        <f>IFERROR(INDEX(CaProdutos[ID], MATCH(vendas[[#This Row],[Item]], CaProdutos[Item], 0)), "")</f>
        <v/>
      </c>
      <c r="H57" s="1"/>
      <c r="I57" s="28"/>
      <c r="J57" s="33"/>
      <c r="K5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7" s="17" t="str">
        <f>IFERROR(vendas[[#This Row],[Lucro Bruto]] - ConfPrec[Rateio de Custos Fixos] * vendas[[#This Row],[Qtd.]], "")</f>
        <v/>
      </c>
    </row>
    <row r="58" spans="2:13">
      <c r="B58" s="40"/>
      <c r="C58" s="32" t="str">
        <f>IFERROR(INDEX(CaProdutos[ID], MATCH(vendas[[#This Row],[Item]], CaProdutos[Item], 0)), "")</f>
        <v/>
      </c>
      <c r="H58" s="1"/>
      <c r="I58" s="28"/>
      <c r="J58" s="33"/>
      <c r="K5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8" s="17" t="str">
        <f>IFERROR(vendas[[#This Row],[Lucro Bruto]] - ConfPrec[Rateio de Custos Fixos] * vendas[[#This Row],[Qtd.]], "")</f>
        <v/>
      </c>
    </row>
    <row r="59" spans="2:13">
      <c r="B59" s="40"/>
      <c r="C59" s="32" t="str">
        <f>IFERROR(INDEX(CaProdutos[ID], MATCH(vendas[[#This Row],[Item]], CaProdutos[Item], 0)), "")</f>
        <v/>
      </c>
      <c r="H59" s="1"/>
      <c r="I59" s="28"/>
      <c r="J59" s="33"/>
      <c r="K5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9" s="17" t="str">
        <f>IFERROR(vendas[[#This Row],[Lucro Bruto]] - ConfPrec[Rateio de Custos Fixos] * vendas[[#This Row],[Qtd.]], "")</f>
        <v/>
      </c>
    </row>
    <row r="60" spans="2:13">
      <c r="B60" s="42"/>
      <c r="C60" s="32" t="str">
        <f>IFERROR(INDEX(CaProdutos[ID], MATCH(vendas[[#This Row],[Item]], CaProdutos[Item], 0)), "")</f>
        <v/>
      </c>
      <c r="H60" s="1"/>
      <c r="I60" s="28"/>
      <c r="J60" s="33"/>
      <c r="K6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0" s="17" t="str">
        <f>IFERROR(vendas[[#This Row],[Lucro Bruto]] - ConfPrec[Rateio de Custos Fixos] * vendas[[#This Row],[Qtd.]], "")</f>
        <v/>
      </c>
    </row>
    <row r="61" spans="2:13">
      <c r="B61" s="42"/>
      <c r="C61" s="32" t="str">
        <f>IFERROR(INDEX(CaProdutos[ID], MATCH(vendas[[#This Row],[Item]], CaProdutos[Item], 0)), "")</f>
        <v/>
      </c>
      <c r="H61" s="1"/>
      <c r="I61" s="28"/>
      <c r="J61" s="33"/>
      <c r="K6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1" s="17" t="str">
        <f>IFERROR(vendas[[#This Row],[Lucro Bruto]] - ConfPrec[Rateio de Custos Fixos] * vendas[[#This Row],[Qtd.]], "")</f>
        <v/>
      </c>
    </row>
    <row r="62" spans="2:13">
      <c r="B62" s="42"/>
      <c r="C62" s="32" t="str">
        <f>IFERROR(INDEX(CaProdutos[ID], MATCH(vendas[[#This Row],[Item]], CaProdutos[Item], 0)), "")</f>
        <v/>
      </c>
      <c r="H62" s="1"/>
      <c r="I62" s="28"/>
      <c r="J62" s="33"/>
      <c r="K6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2" s="17" t="str">
        <f>IFERROR(vendas[[#This Row],[Lucro Bruto]] - ConfPrec[Rateio de Custos Fixos] * vendas[[#This Row],[Qtd.]], "")</f>
        <v/>
      </c>
    </row>
    <row r="63" spans="2:13">
      <c r="B63" s="42"/>
      <c r="C63" s="32" t="str">
        <f>IFERROR(INDEX(CaProdutos[ID], MATCH(vendas[[#This Row],[Item]], CaProdutos[Item], 0)), "")</f>
        <v/>
      </c>
      <c r="H63" s="1"/>
      <c r="I63" s="28"/>
      <c r="J63" s="33"/>
      <c r="K6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3" s="17" t="str">
        <f>IFERROR(vendas[[#This Row],[Lucro Bruto]] - ConfPrec[Rateio de Custos Fixos] * vendas[[#This Row],[Qtd.]], "")</f>
        <v/>
      </c>
    </row>
    <row r="64" spans="2:13">
      <c r="B64" s="42"/>
      <c r="C64" s="32" t="str">
        <f>IFERROR(INDEX(CaProdutos[ID], MATCH(vendas[[#This Row],[Item]], CaProdutos[Item], 0)), "")</f>
        <v/>
      </c>
      <c r="H64" s="1"/>
      <c r="I64" s="28"/>
      <c r="J64" s="33"/>
      <c r="K6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4" s="17" t="str">
        <f>IFERROR(vendas[[#This Row],[Lucro Bruto]] - ConfPrec[Rateio de Custos Fixos] * vendas[[#This Row],[Qtd.]], "")</f>
        <v/>
      </c>
    </row>
    <row r="65" spans="2:13">
      <c r="B65" s="42"/>
      <c r="C65" s="32" t="str">
        <f>IFERROR(INDEX(CaProdutos[ID], MATCH(vendas[[#This Row],[Item]], CaProdutos[Item], 0)), "")</f>
        <v/>
      </c>
      <c r="H65" s="1"/>
      <c r="I65" s="28"/>
      <c r="J65" s="33"/>
      <c r="K6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5" s="17" t="str">
        <f>IFERROR(vendas[[#This Row],[Lucro Bruto]] - ConfPrec[Rateio de Custos Fixos] * vendas[[#This Row],[Qtd.]], "")</f>
        <v/>
      </c>
    </row>
    <row r="66" spans="2:13">
      <c r="B66" s="42"/>
      <c r="C66" s="32" t="str">
        <f>IFERROR(INDEX(CaProdutos[ID], MATCH(vendas[[#This Row],[Item]], CaProdutos[Item], 0)), "")</f>
        <v/>
      </c>
      <c r="F66" t="s">
        <v>86</v>
      </c>
      <c r="G66" t="s">
        <v>95</v>
      </c>
      <c r="H66" s="1"/>
      <c r="I66" s="28"/>
      <c r="J66" s="33"/>
      <c r="K6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6" s="17" t="str">
        <f>IFERROR(vendas[[#This Row],[Lucro Bruto]] - ConfPrec[Rateio de Custos Fixos] * vendas[[#This Row],[Qtd.]], "")</f>
        <v/>
      </c>
    </row>
    <row r="67" spans="2:13">
      <c r="B67" s="42"/>
      <c r="C67" s="32" t="str">
        <f>IFERROR(INDEX(CaProdutos[ID], MATCH(vendas[[#This Row],[Item]], CaProdutos[Item], 0)), "")</f>
        <v/>
      </c>
      <c r="H67" s="1"/>
      <c r="I67" s="28"/>
      <c r="J67" s="33"/>
      <c r="K6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7" s="17" t="str">
        <f>IFERROR(vendas[[#This Row],[Lucro Bruto]] - ConfPrec[Rateio de Custos Fixos] * vendas[[#This Row],[Qtd.]], "")</f>
        <v/>
      </c>
    </row>
    <row r="68" spans="2:13">
      <c r="B68" s="42"/>
      <c r="C68" s="32" t="str">
        <f>IFERROR(INDEX(CaProdutos[ID], MATCH(vendas[[#This Row],[Item]], CaProdutos[Item], 0)), "")</f>
        <v/>
      </c>
      <c r="F68" t="s">
        <v>89</v>
      </c>
      <c r="G68" t="s">
        <v>91</v>
      </c>
      <c r="H68" s="1"/>
      <c r="I68" s="28"/>
      <c r="J68" s="33"/>
      <c r="K6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8" s="17" t="str">
        <f>IFERROR(vendas[[#This Row],[Lucro Bruto]] - ConfPrec[Rateio de Custos Fixos] * vendas[[#This Row],[Qtd.]], "")</f>
        <v/>
      </c>
    </row>
    <row r="69" spans="2:13">
      <c r="B69" s="42"/>
      <c r="C69" s="32" t="str">
        <f>IFERROR(INDEX(CaProdutos[ID], MATCH(vendas[[#This Row],[Item]], CaProdutos[Item], 0)), "")</f>
        <v/>
      </c>
      <c r="H69" s="1"/>
      <c r="I69" s="28"/>
      <c r="J69" s="33"/>
      <c r="K6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9" s="17" t="str">
        <f>IFERROR(vendas[[#This Row],[Lucro Bruto]] - ConfPrec[Rateio de Custos Fixos] * vendas[[#This Row],[Qtd.]], "")</f>
        <v/>
      </c>
    </row>
    <row r="70" spans="2:13">
      <c r="B70" s="42"/>
      <c r="C70" s="32" t="str">
        <f>IFERROR(INDEX(CaProdutos[ID], MATCH(vendas[[#This Row],[Item]], CaProdutos[Item], 0)), "")</f>
        <v/>
      </c>
      <c r="H70" s="1"/>
      <c r="I70" s="28"/>
      <c r="J70" s="33"/>
      <c r="K7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0" s="17" t="str">
        <f>IFERROR(vendas[[#This Row],[Lucro Bruto]] - ConfPrec[Rateio de Custos Fixos] * vendas[[#This Row],[Qtd.]], "")</f>
        <v/>
      </c>
    </row>
    <row r="71" spans="2:13">
      <c r="B71" s="42"/>
      <c r="C71" s="32" t="str">
        <f>IFERROR(INDEX(CaProdutos[ID], MATCH(vendas[[#This Row],[Item]], CaProdutos[Item], 0)), "")</f>
        <v/>
      </c>
      <c r="H71" s="1"/>
      <c r="I71" s="28"/>
      <c r="J71" s="33"/>
      <c r="K7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1" s="17" t="str">
        <f>IFERROR(vendas[[#This Row],[Lucro Bruto]] - ConfPrec[Rateio de Custos Fixos] * vendas[[#This Row],[Qtd.]], "")</f>
        <v/>
      </c>
    </row>
    <row r="72" spans="2:13">
      <c r="B72" s="42"/>
      <c r="C72" s="32" t="str">
        <f>IFERROR(INDEX(CaProdutos[ID], MATCH(vendas[[#This Row],[Item]], CaProdutos[Item], 0)), "")</f>
        <v/>
      </c>
      <c r="H72" s="1"/>
      <c r="I72" s="28"/>
      <c r="J72" s="33"/>
      <c r="K7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2" s="17" t="str">
        <f>IFERROR(vendas[[#This Row],[Lucro Bruto]] - ConfPrec[Rateio de Custos Fixos] * vendas[[#This Row],[Qtd.]], "")</f>
        <v/>
      </c>
    </row>
    <row r="73" spans="2:13">
      <c r="B73" s="42"/>
      <c r="C73" s="32" t="str">
        <f>IFERROR(INDEX(CaProdutos[ID], MATCH(vendas[[#This Row],[Item]], CaProdutos[Item], 0)), "")</f>
        <v/>
      </c>
      <c r="H73" s="1"/>
      <c r="I73" s="28"/>
      <c r="J73" s="33"/>
      <c r="K7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3" s="17" t="str">
        <f>IFERROR(vendas[[#This Row],[Lucro Bruto]] - ConfPrec[Rateio de Custos Fixos] * vendas[[#This Row],[Qtd.]], "")</f>
        <v/>
      </c>
    </row>
    <row r="74" spans="2:13">
      <c r="B74" s="42"/>
      <c r="C74" s="32" t="str">
        <f>IFERROR(INDEX(CaProdutos[ID], MATCH(vendas[[#This Row],[Item]], CaProdutos[Item], 0)), "")</f>
        <v/>
      </c>
      <c r="H74" s="1"/>
      <c r="I74" s="28"/>
      <c r="J74" s="33"/>
      <c r="K7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4" s="17" t="str">
        <f>IFERROR(vendas[[#This Row],[Lucro Bruto]] - ConfPrec[Rateio de Custos Fixos] * vendas[[#This Row],[Qtd.]], "")</f>
        <v/>
      </c>
    </row>
    <row r="75" spans="2:13">
      <c r="B75" s="42"/>
      <c r="C75" s="32" t="str">
        <f>IFERROR(INDEX(CaProdutos[ID], MATCH(vendas[[#This Row],[Item]], CaProdutos[Item], 0)), "")</f>
        <v/>
      </c>
      <c r="H75" s="1"/>
      <c r="I75" s="28"/>
      <c r="J75" s="33"/>
      <c r="K7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5" s="17" t="str">
        <f>IFERROR(vendas[[#This Row],[Lucro Bruto]] - ConfPrec[Rateio de Custos Fixos] * vendas[[#This Row],[Qtd.]], "")</f>
        <v/>
      </c>
    </row>
    <row r="76" spans="2:13">
      <c r="B76" s="42"/>
      <c r="C76" s="32" t="str">
        <f>IFERROR(INDEX(CaProdutos[ID], MATCH(vendas[[#This Row],[Item]], CaProdutos[Item], 0)), "")</f>
        <v/>
      </c>
      <c r="H76" s="1"/>
      <c r="I76" s="28"/>
      <c r="J76" s="33"/>
      <c r="K7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6" s="17" t="str">
        <f>IFERROR(vendas[[#This Row],[Lucro Bruto]] - ConfPrec[Rateio de Custos Fixos] * vendas[[#This Row],[Qtd.]], "")</f>
        <v/>
      </c>
    </row>
    <row r="77" spans="2:13">
      <c r="B77" s="42"/>
      <c r="C77" s="32" t="str">
        <f>IFERROR(INDEX(CaProdutos[ID], MATCH(vendas[[#This Row],[Item]], CaProdutos[Item], 0)), "")</f>
        <v/>
      </c>
      <c r="H77" s="1"/>
      <c r="I77" s="28"/>
      <c r="J77" s="33"/>
      <c r="K7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7" s="17" t="str">
        <f>IFERROR(vendas[[#This Row],[Lucro Bruto]] - ConfPrec[Rateio de Custos Fixos] * vendas[[#This Row],[Qtd.]], "")</f>
        <v/>
      </c>
    </row>
    <row r="78" spans="2:13">
      <c r="B78" s="42"/>
      <c r="C78" s="32" t="str">
        <f>IFERROR(INDEX(CaProdutos[ID], MATCH(vendas[[#This Row],[Item]], CaProdutos[Item], 0)), "")</f>
        <v/>
      </c>
      <c r="H78" s="1"/>
      <c r="I78" s="28"/>
      <c r="J78" s="33"/>
      <c r="K7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8" s="17" t="str">
        <f>IFERROR(vendas[[#This Row],[Lucro Bruto]] - ConfPrec[Rateio de Custos Fixos] * vendas[[#This Row],[Qtd.]], "")</f>
        <v/>
      </c>
    </row>
    <row r="79" spans="2:13">
      <c r="B79" s="42"/>
      <c r="C79" s="32" t="str">
        <f>IFERROR(INDEX(CaProdutos[ID], MATCH(vendas[[#This Row],[Item]], CaProdutos[Item], 0)), "")</f>
        <v/>
      </c>
      <c r="F79" t="s">
        <v>110</v>
      </c>
      <c r="H79" s="1"/>
      <c r="I79" s="28"/>
      <c r="J79" s="33"/>
      <c r="K7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9" s="17" t="str">
        <f>IFERROR(vendas[[#This Row],[Lucro Bruto]] - ConfPrec[Rateio de Custos Fixos] * vendas[[#This Row],[Qtd.]], "")</f>
        <v/>
      </c>
    </row>
    <row r="80" spans="2:13">
      <c r="B80" s="42"/>
      <c r="C80" s="32" t="str">
        <f>IFERROR(INDEX(CaProdutos[ID], MATCH(vendas[[#This Row],[Item]], CaProdutos[Item], 0)), "")</f>
        <v/>
      </c>
      <c r="H80" s="1"/>
      <c r="I80" s="28"/>
      <c r="J80" s="33"/>
      <c r="K8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0" s="17" t="str">
        <f>IFERROR(vendas[[#This Row],[Lucro Bruto]] - ConfPrec[Rateio de Custos Fixos] * vendas[[#This Row],[Qtd.]], "")</f>
        <v/>
      </c>
    </row>
    <row r="81" spans="2:13">
      <c r="B81" s="42"/>
      <c r="C81" s="32" t="str">
        <f>IFERROR(INDEX(CaProdutos[ID], MATCH(vendas[[#This Row],[Item]], CaProdutos[Item], 0)), "")</f>
        <v/>
      </c>
      <c r="H81" s="1"/>
      <c r="I81" s="28"/>
      <c r="J81" s="33"/>
      <c r="K8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1" s="17" t="str">
        <f>IFERROR(vendas[[#This Row],[Lucro Bruto]] - ConfPrec[Rateio de Custos Fixos] * vendas[[#This Row],[Qtd.]], "")</f>
        <v/>
      </c>
    </row>
    <row r="82" spans="2:13">
      <c r="B82" s="42"/>
      <c r="C82" s="32" t="str">
        <f>IFERROR(INDEX(CaProdutos[ID], MATCH(vendas[[#This Row],[Item]], CaProdutos[Item], 0)), "")</f>
        <v/>
      </c>
      <c r="H82" s="1"/>
      <c r="I82" s="28"/>
      <c r="J82" s="33"/>
      <c r="K8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2" s="17" t="str">
        <f>IFERROR(vendas[[#This Row],[Lucro Bruto]] - ConfPrec[Rateio de Custos Fixos] * vendas[[#This Row],[Qtd.]], "")</f>
        <v/>
      </c>
    </row>
    <row r="83" spans="2:13">
      <c r="B83" s="42"/>
      <c r="C83" s="32" t="str">
        <f>IFERROR(INDEX(CaProdutos[ID], MATCH(vendas[[#This Row],[Item]], CaProdutos[Item], 0)), "")</f>
        <v/>
      </c>
      <c r="F83" t="s">
        <v>110</v>
      </c>
      <c r="H83" s="1"/>
      <c r="I83" s="28"/>
      <c r="J83" s="33"/>
      <c r="K8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3" s="17" t="str">
        <f>IFERROR(vendas[[#This Row],[Lucro Bruto]] - ConfPrec[Rateio de Custos Fixos] * vendas[[#This Row],[Qtd.]], "")</f>
        <v/>
      </c>
    </row>
    <row r="84" spans="2:13">
      <c r="B84" s="42"/>
      <c r="C84" s="32" t="str">
        <f>IFERROR(INDEX(CaProdutos[ID], MATCH(vendas[[#This Row],[Item]], CaProdutos[Item], 0)), "")</f>
        <v/>
      </c>
      <c r="H84" s="1"/>
      <c r="I84" s="28"/>
      <c r="J84" s="33"/>
      <c r="K8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4" s="17" t="str">
        <f>IFERROR(vendas[[#This Row],[Lucro Bruto]] - ConfPrec[Rateio de Custos Fixos] * vendas[[#This Row],[Qtd.]], "")</f>
        <v/>
      </c>
    </row>
    <row r="85" spans="2:13">
      <c r="B85" s="42"/>
      <c r="C85" s="32" t="str">
        <f>IFERROR(INDEX(CaProdutos[ID], MATCH(vendas[[#This Row],[Item]], CaProdutos[Item], 0)), "")</f>
        <v/>
      </c>
      <c r="H85" s="1"/>
      <c r="I85" s="28"/>
      <c r="J85" s="33"/>
      <c r="K8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5" s="17" t="str">
        <f>IFERROR(vendas[[#This Row],[Lucro Bruto]] - ConfPrec[Rateio de Custos Fixos] * vendas[[#This Row],[Qtd.]], "")</f>
        <v/>
      </c>
    </row>
    <row r="86" spans="2:13">
      <c r="B86" s="42"/>
      <c r="C86" s="32" t="str">
        <f>IFERROR(INDEX(CaProdutos[ID], MATCH(vendas[[#This Row],[Item]], CaProdutos[Item], 0)), "")</f>
        <v/>
      </c>
      <c r="H86" s="1"/>
      <c r="I86" s="28"/>
      <c r="J86" s="33"/>
      <c r="K8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6" s="17" t="str">
        <f>IFERROR(vendas[[#This Row],[Lucro Bruto]] - ConfPrec[Rateio de Custos Fixos] * vendas[[#This Row],[Qtd.]], "")</f>
        <v/>
      </c>
    </row>
    <row r="87" spans="2:13">
      <c r="B87" s="40"/>
      <c r="C87" s="32" t="str">
        <f>IFERROR(INDEX(CaProdutos[ID], MATCH(vendas[[#This Row],[Item]], CaProdutos[Item], 0)), "")</f>
        <v/>
      </c>
      <c r="H87" s="1"/>
      <c r="I87" s="28"/>
      <c r="J87" s="33"/>
      <c r="K8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7" s="17" t="str">
        <f>IFERROR(vendas[[#This Row],[Lucro Bruto]] - ConfPrec[Rateio de Custos Fixos] * vendas[[#This Row],[Qtd.]], "")</f>
        <v/>
      </c>
    </row>
    <row r="88" spans="2:13">
      <c r="B88" s="40"/>
      <c r="C88" s="32" t="str">
        <f>IFERROR(INDEX(CaProdutos[ID], MATCH(vendas[[#This Row],[Item]], CaProdutos[Item], 0)), "")</f>
        <v/>
      </c>
      <c r="H88" s="1"/>
      <c r="I88" s="28"/>
      <c r="J88" s="33"/>
      <c r="K8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8" s="17" t="str">
        <f>IFERROR(vendas[[#This Row],[Lucro Bruto]] - ConfPrec[Rateio de Custos Fixos] * vendas[[#This Row],[Qtd.]], "")</f>
        <v/>
      </c>
    </row>
    <row r="89" spans="2:13">
      <c r="B89" s="40"/>
      <c r="C89" s="32" t="str">
        <f>IFERROR(INDEX(CaProdutos[ID], MATCH(vendas[[#This Row],[Item]], CaProdutos[Item], 0)), "")</f>
        <v/>
      </c>
      <c r="F89" t="s">
        <v>89</v>
      </c>
      <c r="G89" t="s">
        <v>86</v>
      </c>
      <c r="H89" s="1"/>
      <c r="I89" s="28"/>
      <c r="J89" s="33"/>
      <c r="K8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9" s="17" t="str">
        <f>IFERROR(vendas[[#This Row],[Lucro Bruto]] - ConfPrec[Rateio de Custos Fixos] * vendas[[#This Row],[Qtd.]], "")</f>
        <v/>
      </c>
    </row>
    <row r="90" spans="2:13">
      <c r="B90" s="40"/>
      <c r="C90" s="32" t="str">
        <f>IFERROR(INDEX(CaProdutos[ID], MATCH(vendas[[#This Row],[Item]], CaProdutos[Item], 0)), "")</f>
        <v/>
      </c>
      <c r="H90" s="1"/>
      <c r="I90" s="28"/>
      <c r="J90" s="33"/>
      <c r="K9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0" s="17" t="str">
        <f>IFERROR(vendas[[#This Row],[Lucro Bruto]] - ConfPrec[Rateio de Custos Fixos] * vendas[[#This Row],[Qtd.]], "")</f>
        <v/>
      </c>
    </row>
    <row r="91" spans="2:13">
      <c r="B91" s="40"/>
      <c r="C91" s="32" t="str">
        <f>IFERROR(INDEX(CaProdutos[ID], MATCH(vendas[[#This Row],[Item]], CaProdutos[Item], 0)), "")</f>
        <v/>
      </c>
      <c r="F91" t="s">
        <v>89</v>
      </c>
      <c r="H91" s="1"/>
      <c r="I91" s="28"/>
      <c r="J91" s="33"/>
      <c r="K9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1" s="17" t="str">
        <f>IFERROR(vendas[[#This Row],[Lucro Bruto]] - ConfPrec[Rateio de Custos Fixos] * vendas[[#This Row],[Qtd.]], "")</f>
        <v/>
      </c>
    </row>
    <row r="92" spans="2:13">
      <c r="B92" s="40"/>
      <c r="C92" s="32" t="str">
        <f>IFERROR(INDEX(CaProdutos[ID], MATCH(vendas[[#This Row],[Item]], CaProdutos[Item], 0)), "")</f>
        <v/>
      </c>
      <c r="H92" s="1"/>
      <c r="I92" s="28"/>
      <c r="J92" s="33"/>
      <c r="K9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2" s="17" t="str">
        <f>IFERROR(vendas[[#This Row],[Lucro Bruto]] - ConfPrec[Rateio de Custos Fixos] * vendas[[#This Row],[Qtd.]], "")</f>
        <v/>
      </c>
    </row>
    <row r="93" spans="2:13">
      <c r="B93" s="40"/>
      <c r="C93" s="32" t="str">
        <f>IFERROR(INDEX(CaProdutos[ID], MATCH(vendas[[#This Row],[Item]], CaProdutos[Item], 0)), "")</f>
        <v/>
      </c>
      <c r="H93" s="1"/>
      <c r="I93" s="28"/>
      <c r="J93" s="33"/>
      <c r="K9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3" s="17" t="str">
        <f>IFERROR(vendas[[#This Row],[Lucro Bruto]] - ConfPrec[Rateio de Custos Fixos] * vendas[[#This Row],[Qtd.]], "")</f>
        <v/>
      </c>
    </row>
    <row r="94" spans="2:13">
      <c r="B94" s="40"/>
      <c r="C94" s="32" t="str">
        <f>IFERROR(INDEX(CaProdutos[ID], MATCH(vendas[[#This Row],[Item]], CaProdutos[Item], 0)), "")</f>
        <v/>
      </c>
      <c r="H94" s="1"/>
      <c r="I94" s="28"/>
      <c r="J94" s="33"/>
      <c r="K9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4" s="17" t="str">
        <f>IFERROR(vendas[[#This Row],[Lucro Bruto]] - ConfPrec[Rateio de Custos Fixos] * vendas[[#This Row],[Qtd.]], "")</f>
        <v/>
      </c>
    </row>
    <row r="95" spans="2:13">
      <c r="B95" s="40"/>
      <c r="C95" s="32" t="str">
        <f>IFERROR(INDEX(CaProdutos[ID], MATCH(vendas[[#This Row],[Item]], CaProdutos[Item], 0)), "")</f>
        <v/>
      </c>
      <c r="H95" s="1"/>
      <c r="I95" s="28"/>
      <c r="J95" s="33"/>
      <c r="K9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5" s="17" t="str">
        <f>IFERROR(vendas[[#This Row],[Lucro Bruto]] - ConfPrec[Rateio de Custos Fixos] * vendas[[#This Row],[Qtd.]], "")</f>
        <v/>
      </c>
    </row>
    <row r="96" spans="2:13">
      <c r="B96" s="40"/>
      <c r="C96" s="32" t="str">
        <f>IFERROR(INDEX(CaProdutos[ID], MATCH(vendas[[#This Row],[Item]], CaProdutos[Item], 0)), "")</f>
        <v/>
      </c>
      <c r="H96" s="1"/>
      <c r="I96" s="28"/>
      <c r="J96" s="33"/>
      <c r="K9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6" s="17" t="str">
        <f>IFERROR(vendas[[#This Row],[Lucro Bruto]] - ConfPrec[Rateio de Custos Fixos] * vendas[[#This Row],[Qtd.]], "")</f>
        <v/>
      </c>
    </row>
    <row r="97" spans="2:13">
      <c r="B97" s="40"/>
      <c r="C97" s="32" t="str">
        <f>IFERROR(INDEX(CaProdutos[ID], MATCH(vendas[[#This Row],[Item]], CaProdutos[Item], 0)), "")</f>
        <v/>
      </c>
      <c r="H97" s="1"/>
      <c r="I97" s="28"/>
      <c r="J97" s="33"/>
      <c r="K9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7" s="17" t="str">
        <f>IFERROR(vendas[[#This Row],[Lucro Bruto]] - ConfPrec[Rateio de Custos Fixos] * vendas[[#This Row],[Qtd.]], "")</f>
        <v/>
      </c>
    </row>
    <row r="98" spans="2:13">
      <c r="B98" s="40"/>
      <c r="C98" s="32" t="str">
        <f>IFERROR(INDEX(CaProdutos[ID], MATCH(vendas[[#This Row],[Item]], CaProdutos[Item], 0)), "")</f>
        <v/>
      </c>
      <c r="F98" t="s">
        <v>92</v>
      </c>
      <c r="H98" s="1"/>
      <c r="I98" s="28"/>
      <c r="J98" s="33"/>
      <c r="K9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8" s="17" t="str">
        <f>IFERROR(vendas[[#This Row],[Lucro Bruto]] - ConfPrec[Rateio de Custos Fixos] * vendas[[#This Row],[Qtd.]], "")</f>
        <v/>
      </c>
    </row>
    <row r="99" spans="2:13">
      <c r="B99" s="40"/>
      <c r="C99" s="32" t="str">
        <f>IFERROR(INDEX(CaProdutos[ID], MATCH(vendas[[#This Row],[Item]], CaProdutos[Item], 0)), "")</f>
        <v/>
      </c>
      <c r="H99" s="1"/>
      <c r="I99" s="28"/>
      <c r="J99" s="33"/>
      <c r="K9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9" s="17" t="str">
        <f>IFERROR(vendas[[#This Row],[Lucro Bruto]] - ConfPrec[Rateio de Custos Fixos] * vendas[[#This Row],[Qtd.]], "")</f>
        <v/>
      </c>
    </row>
    <row r="100" spans="2:13">
      <c r="B100" s="40"/>
      <c r="C100" s="32" t="str">
        <f>IFERROR(INDEX(CaProdutos[ID], MATCH(vendas[[#This Row],[Item]], CaProdutos[Item], 0)), "")</f>
        <v/>
      </c>
      <c r="H100" s="1"/>
      <c r="I100" s="28"/>
      <c r="J100" s="33"/>
      <c r="K10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0" s="17" t="str">
        <f>IFERROR(vendas[[#This Row],[Lucro Bruto]] - ConfPrec[Rateio de Custos Fixos] * vendas[[#This Row],[Qtd.]], "")</f>
        <v/>
      </c>
    </row>
    <row r="101" spans="2:13">
      <c r="B101" s="40"/>
      <c r="C101" s="32" t="str">
        <f>IFERROR(INDEX(CaProdutos[ID], MATCH(vendas[[#This Row],[Item]], CaProdutos[Item], 0)), "")</f>
        <v/>
      </c>
      <c r="H101" s="1"/>
      <c r="I101" s="28"/>
      <c r="J101" s="33"/>
      <c r="K10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1" s="17" t="str">
        <f>IFERROR(vendas[[#This Row],[Lucro Bruto]] - ConfPrec[Rateio de Custos Fixos] * vendas[[#This Row],[Qtd.]], "")</f>
        <v/>
      </c>
    </row>
    <row r="102" spans="2:13">
      <c r="B102" s="40"/>
      <c r="C102" s="32" t="str">
        <f>IFERROR(INDEX(CaProdutos[ID], MATCH(vendas[[#This Row],[Item]], CaProdutos[Item], 0)), "")</f>
        <v/>
      </c>
      <c r="H102" s="1"/>
      <c r="I102" s="28"/>
      <c r="J102" s="33"/>
      <c r="K10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2" s="17" t="str">
        <f>IFERROR(vendas[[#This Row],[Lucro Bruto]] - ConfPrec[Rateio de Custos Fixos] * vendas[[#This Row],[Qtd.]], "")</f>
        <v/>
      </c>
    </row>
    <row r="103" spans="2:13">
      <c r="B103" s="40"/>
      <c r="C103" s="32" t="str">
        <f>IFERROR(INDEX(CaProdutos[ID], MATCH(vendas[[#This Row],[Item]], CaProdutos[Item], 0)), "")</f>
        <v/>
      </c>
      <c r="H103" s="1"/>
      <c r="I103" s="28"/>
      <c r="J103" s="33"/>
      <c r="K10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3" s="17" t="str">
        <f>IFERROR(vendas[[#This Row],[Lucro Bruto]] - ConfPrec[Rateio de Custos Fixos] * vendas[[#This Row],[Qtd.]], "")</f>
        <v/>
      </c>
    </row>
    <row r="104" spans="2:13">
      <c r="B104" s="40"/>
      <c r="C104" s="32" t="str">
        <f>IFERROR(INDEX(CaProdutos[ID], MATCH(vendas[[#This Row],[Item]], CaProdutos[Item], 0)), "")</f>
        <v/>
      </c>
      <c r="H104" s="1"/>
      <c r="I104" s="28"/>
      <c r="J104" s="33"/>
      <c r="K10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4" s="17" t="str">
        <f>IFERROR(vendas[[#This Row],[Lucro Bruto]] - ConfPrec[Rateio de Custos Fixos] * vendas[[#This Row],[Qtd.]], "")</f>
        <v/>
      </c>
    </row>
    <row r="105" spans="2:13">
      <c r="B105" s="40"/>
      <c r="C105" s="32" t="str">
        <f>IFERROR(INDEX(CaProdutos[ID], MATCH(vendas[[#This Row],[Item]], CaProdutos[Item], 0)), "")</f>
        <v/>
      </c>
      <c r="H105" s="1"/>
      <c r="I105" s="28"/>
      <c r="J105" s="33"/>
      <c r="K10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5" s="17" t="str">
        <f>IFERROR(vendas[[#This Row],[Lucro Bruto]] - ConfPrec[Rateio de Custos Fixos] * vendas[[#This Row],[Qtd.]], "")</f>
        <v/>
      </c>
    </row>
    <row r="106" spans="2:13">
      <c r="B106" s="40"/>
      <c r="C106" s="32" t="str">
        <f>IFERROR(INDEX(CaProdutos[ID], MATCH(vendas[[#This Row],[Item]], CaProdutos[Item], 0)), "")</f>
        <v/>
      </c>
      <c r="H106" s="1"/>
      <c r="I106" s="28"/>
      <c r="J106" s="33"/>
      <c r="K10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6" s="17" t="str">
        <f>IFERROR(vendas[[#This Row],[Lucro Bruto]] - ConfPrec[Rateio de Custos Fixos] * vendas[[#This Row],[Qtd.]], "")</f>
        <v/>
      </c>
    </row>
    <row r="107" spans="2:13">
      <c r="B107" s="40"/>
      <c r="C107" s="32" t="str">
        <f>IFERROR(INDEX(CaProdutos[ID], MATCH(vendas[[#This Row],[Item]], CaProdutos[Item], 0)), "")</f>
        <v/>
      </c>
      <c r="H107" s="1"/>
      <c r="I107" s="28"/>
      <c r="J107" s="33"/>
      <c r="K10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7" s="17" t="str">
        <f>IFERROR(vendas[[#This Row],[Lucro Bruto]] - ConfPrec[Rateio de Custos Fixos] * vendas[[#This Row],[Qtd.]], "")</f>
        <v/>
      </c>
    </row>
    <row r="108" spans="2:13">
      <c r="B108" s="40"/>
      <c r="C108" s="32" t="str">
        <f>IFERROR(INDEX(CaProdutos[ID], MATCH(vendas[[#This Row],[Item]], CaProdutos[Item], 0)), "")</f>
        <v/>
      </c>
      <c r="F108" t="s">
        <v>92</v>
      </c>
      <c r="H108" s="1"/>
      <c r="I108" s="28"/>
      <c r="J108" s="33"/>
      <c r="K10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8" s="17" t="str">
        <f>IFERROR(vendas[[#This Row],[Lucro Bruto]] - ConfPrec[Rateio de Custos Fixos] * vendas[[#This Row],[Qtd.]], "")</f>
        <v/>
      </c>
    </row>
    <row r="109" spans="2:13">
      <c r="B109" s="40"/>
      <c r="C109" s="32" t="str">
        <f>IFERROR(INDEX(CaProdutos[ID], MATCH(vendas[[#This Row],[Item]], CaProdutos[Item], 0)), "")</f>
        <v/>
      </c>
      <c r="H109" s="1"/>
      <c r="I109" s="28"/>
      <c r="J109" s="33"/>
      <c r="K10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9" s="17" t="str">
        <f>IFERROR(vendas[[#This Row],[Lucro Bruto]] - ConfPrec[Rateio de Custos Fixos] * vendas[[#This Row],[Qtd.]], "")</f>
        <v/>
      </c>
    </row>
    <row r="110" spans="2:13">
      <c r="B110" s="40"/>
      <c r="C110" s="32" t="str">
        <f>IFERROR(INDEX(CaProdutos[ID], MATCH(vendas[[#This Row],[Item]], CaProdutos[Item], 0)), "")</f>
        <v/>
      </c>
      <c r="H110" s="1"/>
      <c r="I110" s="28"/>
      <c r="J110" s="33"/>
      <c r="K11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0" s="17" t="str">
        <f>IFERROR(vendas[[#This Row],[Lucro Bruto]] - ConfPrec[Rateio de Custos Fixos] * vendas[[#This Row],[Qtd.]], "")</f>
        <v/>
      </c>
    </row>
    <row r="111" spans="2:13">
      <c r="B111" s="40"/>
      <c r="C111" s="32" t="str">
        <f>IFERROR(INDEX(CaProdutos[ID], MATCH(vendas[[#This Row],[Item]], CaProdutos[Item], 0)), "")</f>
        <v/>
      </c>
      <c r="H111" s="1"/>
      <c r="I111" s="28"/>
      <c r="J111" s="33"/>
      <c r="K11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1" s="17" t="str">
        <f>IFERROR(vendas[[#This Row],[Lucro Bruto]] - ConfPrec[Rateio de Custos Fixos] * vendas[[#This Row],[Qtd.]], "")</f>
        <v/>
      </c>
    </row>
    <row r="112" spans="2:13">
      <c r="B112" s="40"/>
      <c r="C112" s="32" t="str">
        <f>IFERROR(INDEX(CaProdutos[ID], MATCH(vendas[[#This Row],[Item]], CaProdutos[Item], 0)), "")</f>
        <v/>
      </c>
      <c r="H112" s="1"/>
      <c r="I112" s="28"/>
      <c r="J112" s="33"/>
      <c r="K11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2" s="17" t="str">
        <f>IFERROR(vendas[[#This Row],[Lucro Bruto]] - ConfPrec[Rateio de Custos Fixos] * vendas[[#This Row],[Qtd.]], "")</f>
        <v/>
      </c>
    </row>
    <row r="113" spans="2:13">
      <c r="B113" s="40"/>
      <c r="C113" s="32" t="str">
        <f>IFERROR(INDEX(CaProdutos[ID], MATCH(vendas[[#This Row],[Item]], CaProdutos[Item], 0)), "")</f>
        <v/>
      </c>
      <c r="H113" s="1"/>
      <c r="I113" s="28"/>
      <c r="J113" s="33"/>
      <c r="K11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3" s="17" t="str">
        <f>IFERROR(vendas[[#This Row],[Lucro Bruto]] - ConfPrec[Rateio de Custos Fixos] * vendas[[#This Row],[Qtd.]], "")</f>
        <v/>
      </c>
    </row>
    <row r="114" spans="2:13">
      <c r="B114" s="40"/>
      <c r="C114" s="32" t="str">
        <f>IFERROR(INDEX(CaProdutos[ID], MATCH(vendas[[#This Row],[Item]], CaProdutos[Item], 0)), "")</f>
        <v/>
      </c>
      <c r="H114" s="1"/>
      <c r="I114" s="28"/>
      <c r="J114" s="33"/>
      <c r="K11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4" s="17" t="str">
        <f>IFERROR(vendas[[#This Row],[Lucro Bruto]] - ConfPrec[Rateio de Custos Fixos] * vendas[[#This Row],[Qtd.]], "")</f>
        <v/>
      </c>
    </row>
    <row r="115" spans="2:13">
      <c r="B115" s="40"/>
      <c r="C115" s="32" t="str">
        <f>IFERROR(INDEX(CaProdutos[ID], MATCH(vendas[[#This Row],[Item]], CaProdutos[Item], 0)), "")</f>
        <v/>
      </c>
      <c r="H115" s="1"/>
      <c r="I115" s="28"/>
      <c r="J115" s="33"/>
      <c r="K11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5" s="17" t="str">
        <f>IFERROR(vendas[[#This Row],[Lucro Bruto]] - ConfPrec[Rateio de Custos Fixos] * vendas[[#This Row],[Qtd.]], "")</f>
        <v/>
      </c>
    </row>
    <row r="116" spans="2:13">
      <c r="B116" s="40"/>
      <c r="C116" s="32" t="str">
        <f>IFERROR(INDEX(CaProdutos[ID], MATCH(vendas[[#This Row],[Item]], CaProdutos[Item], 0)), "")</f>
        <v/>
      </c>
      <c r="H116" s="1"/>
      <c r="I116" s="28"/>
      <c r="J116" s="33"/>
      <c r="K11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6" s="17" t="str">
        <f>IFERROR(vendas[[#This Row],[Lucro Bruto]] - ConfPrec[Rateio de Custos Fixos] * vendas[[#This Row],[Qtd.]], "")</f>
        <v/>
      </c>
    </row>
    <row r="117" spans="2:13">
      <c r="B117" s="40"/>
      <c r="C117" s="32" t="str">
        <f>IFERROR(INDEX(CaProdutos[ID], MATCH(vendas[[#This Row],[Item]], CaProdutos[Item], 0)), "")</f>
        <v/>
      </c>
      <c r="H117" s="1"/>
      <c r="I117" s="28"/>
      <c r="J117" s="33"/>
      <c r="K11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7" s="17" t="str">
        <f>IFERROR(vendas[[#This Row],[Lucro Bruto]] - ConfPrec[Rateio de Custos Fixos] * vendas[[#This Row],[Qtd.]], "")</f>
        <v/>
      </c>
    </row>
    <row r="118" spans="2:13">
      <c r="B118" s="40"/>
      <c r="C118" s="32" t="str">
        <f>IFERROR(INDEX(CaProdutos[ID], MATCH(vendas[[#This Row],[Item]], CaProdutos[Item], 0)), "")</f>
        <v/>
      </c>
      <c r="H118" s="1"/>
      <c r="I118" s="28"/>
      <c r="J118" s="33"/>
      <c r="K11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8" s="17" t="str">
        <f>IFERROR(vendas[[#This Row],[Lucro Bruto]] - ConfPrec[Rateio de Custos Fixos] * vendas[[#This Row],[Qtd.]], "")</f>
        <v/>
      </c>
    </row>
    <row r="119" spans="2:13">
      <c r="B119" s="40"/>
      <c r="C119" s="32" t="str">
        <f>IFERROR(INDEX(CaProdutos[ID], MATCH(vendas[[#This Row],[Item]], CaProdutos[Item], 0)), "")</f>
        <v/>
      </c>
      <c r="H119" s="1"/>
      <c r="I119" s="28"/>
      <c r="J119" s="33"/>
      <c r="K11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9" s="17" t="str">
        <f>IFERROR(vendas[[#This Row],[Lucro Bruto]] - ConfPrec[Rateio de Custos Fixos] * vendas[[#This Row],[Qtd.]], "")</f>
        <v/>
      </c>
    </row>
    <row r="120" spans="2:13">
      <c r="B120" s="40"/>
      <c r="C120" s="32" t="str">
        <f>IFERROR(INDEX(CaProdutos[ID], MATCH(vendas[[#This Row],[Item]], CaProdutos[Item], 0)), "")</f>
        <v/>
      </c>
      <c r="H120" s="1"/>
      <c r="I120" s="28"/>
      <c r="J120" s="33"/>
      <c r="K12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0" s="17" t="str">
        <f>IFERROR(vendas[[#This Row],[Lucro Bruto]] - ConfPrec[Rateio de Custos Fixos] * vendas[[#This Row],[Qtd.]], "")</f>
        <v/>
      </c>
    </row>
    <row r="121" spans="2:13">
      <c r="B121" s="40"/>
      <c r="C121" s="32" t="str">
        <f>IFERROR(INDEX(CaProdutos[ID], MATCH(vendas[[#This Row],[Item]], CaProdutos[Item], 0)), "")</f>
        <v/>
      </c>
      <c r="H121" s="1"/>
      <c r="I121" s="28"/>
      <c r="J121" s="33"/>
      <c r="K12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1" s="17" t="str">
        <f>IFERROR(vendas[[#This Row],[Lucro Bruto]] - ConfPrec[Rateio de Custos Fixos] * vendas[[#This Row],[Qtd.]], "")</f>
        <v/>
      </c>
    </row>
    <row r="122" spans="2:13">
      <c r="B122" s="40"/>
      <c r="C122" s="32" t="str">
        <f>IFERROR(INDEX(CaProdutos[ID], MATCH(vendas[[#This Row],[Item]], CaProdutos[Item], 0)), "")</f>
        <v/>
      </c>
      <c r="H122" s="1"/>
      <c r="I122" s="28"/>
      <c r="J122" s="33"/>
      <c r="K12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2" s="17" t="str">
        <f>IFERROR(vendas[[#This Row],[Lucro Bruto]] - ConfPrec[Rateio de Custos Fixos] * vendas[[#This Row],[Qtd.]], "")</f>
        <v/>
      </c>
    </row>
    <row r="123" spans="2:13">
      <c r="B123" s="40"/>
      <c r="C123" s="32" t="str">
        <f>IFERROR(INDEX(CaProdutos[ID], MATCH(vendas[[#This Row],[Item]], CaProdutos[Item], 0)), "")</f>
        <v/>
      </c>
      <c r="H123" s="1"/>
      <c r="I123" s="28"/>
      <c r="J123" s="33"/>
      <c r="K12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3" s="17" t="str">
        <f>IFERROR(vendas[[#This Row],[Lucro Bruto]] - ConfPrec[Rateio de Custos Fixos] * vendas[[#This Row],[Qtd.]], "")</f>
        <v/>
      </c>
    </row>
    <row r="124" spans="2:13">
      <c r="B124" s="40"/>
      <c r="C124" s="32" t="str">
        <f>IFERROR(INDEX(CaProdutos[ID], MATCH(vendas[[#This Row],[Item]], CaProdutos[Item], 0)), "")</f>
        <v/>
      </c>
      <c r="H124" s="1"/>
      <c r="I124" s="28"/>
      <c r="J124" s="33"/>
      <c r="K12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4" s="17" t="str">
        <f>IFERROR(vendas[[#This Row],[Lucro Bruto]] - ConfPrec[Rateio de Custos Fixos] * vendas[[#This Row],[Qtd.]], "")</f>
        <v/>
      </c>
    </row>
    <row r="125" spans="2:13">
      <c r="B125" s="40"/>
      <c r="C125" s="32" t="str">
        <f>IFERROR(INDEX(CaProdutos[ID], MATCH(vendas[[#This Row],[Item]], CaProdutos[Item], 0)), "")</f>
        <v/>
      </c>
      <c r="H125" s="1"/>
      <c r="I125" s="28"/>
      <c r="J125" s="33"/>
      <c r="K12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5" s="17" t="str">
        <f>IFERROR(vendas[[#This Row],[Lucro Bruto]] - ConfPrec[Rateio de Custos Fixos] * vendas[[#This Row],[Qtd.]], "")</f>
        <v/>
      </c>
    </row>
    <row r="126" spans="2:13">
      <c r="B126" s="40"/>
      <c r="C126" s="32" t="str">
        <f>IFERROR(INDEX(CaProdutos[ID], MATCH(vendas[[#This Row],[Item]], CaProdutos[Item], 0)), "")</f>
        <v/>
      </c>
      <c r="H126" s="1"/>
      <c r="I126" s="28"/>
      <c r="J126" s="33"/>
      <c r="K12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6" s="17" t="str">
        <f>IFERROR(vendas[[#This Row],[Lucro Bruto]] - ConfPrec[Rateio de Custos Fixos] * vendas[[#This Row],[Qtd.]], "")</f>
        <v/>
      </c>
    </row>
    <row r="127" spans="2:13">
      <c r="B127" s="40"/>
      <c r="C127" s="32" t="str">
        <f>IFERROR(INDEX(CaProdutos[ID], MATCH(vendas[[#This Row],[Item]], CaProdutos[Item], 0)), "")</f>
        <v/>
      </c>
      <c r="H127" s="1"/>
      <c r="I127" s="28"/>
      <c r="J127" s="33"/>
      <c r="K12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7" s="17" t="str">
        <f>IFERROR(vendas[[#This Row],[Lucro Bruto]] - ConfPrec[Rateio de Custos Fixos] * vendas[[#This Row],[Qtd.]], "")</f>
        <v/>
      </c>
    </row>
    <row r="128" spans="2:13">
      <c r="B128" s="40"/>
      <c r="C128" s="32" t="str">
        <f>IFERROR(INDEX(CaProdutos[ID], MATCH(vendas[[#This Row],[Item]], CaProdutos[Item], 0)), "")</f>
        <v/>
      </c>
      <c r="H128" s="1"/>
      <c r="I128" s="28"/>
      <c r="J128" s="33"/>
      <c r="K12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8" s="17" t="str">
        <f>IFERROR(vendas[[#This Row],[Lucro Bruto]] - ConfPrec[Rateio de Custos Fixos] * vendas[[#This Row],[Qtd.]], "")</f>
        <v/>
      </c>
    </row>
    <row r="129" spans="2:13">
      <c r="B129" s="40"/>
      <c r="C129" s="32" t="str">
        <f>IFERROR(INDEX(CaProdutos[ID], MATCH(vendas[[#This Row],[Item]], CaProdutos[Item], 0)), "")</f>
        <v/>
      </c>
      <c r="H129" s="1"/>
      <c r="I129" s="28"/>
      <c r="J129" s="33"/>
      <c r="K12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9" s="17" t="str">
        <f>IFERROR(vendas[[#This Row],[Lucro Bruto]] - ConfPrec[Rateio de Custos Fixos] * vendas[[#This Row],[Qtd.]], "")</f>
        <v/>
      </c>
    </row>
    <row r="130" spans="2:13">
      <c r="B130" s="40"/>
      <c r="C130" s="32" t="str">
        <f>IFERROR(INDEX(CaProdutos[ID], MATCH(vendas[[#This Row],[Item]], CaProdutos[Item], 0)), "")</f>
        <v/>
      </c>
      <c r="H130" s="1"/>
      <c r="I130" s="28"/>
      <c r="J130" s="33"/>
      <c r="K13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0" s="17" t="str">
        <f>IFERROR(vendas[[#This Row],[Lucro Bruto]] - ConfPrec[Rateio de Custos Fixos] * vendas[[#This Row],[Qtd.]], "")</f>
        <v/>
      </c>
    </row>
    <row r="131" spans="2:13">
      <c r="B131" s="40"/>
      <c r="C131" s="32" t="str">
        <f>IFERROR(INDEX(CaProdutos[ID], MATCH(vendas[[#This Row],[Item]], CaProdutos[Item], 0)), "")</f>
        <v/>
      </c>
      <c r="H131" s="1"/>
      <c r="I131" s="28"/>
      <c r="J131" s="33"/>
      <c r="K13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1" s="17" t="str">
        <f>IFERROR(vendas[[#This Row],[Lucro Bruto]] - ConfPrec[Rateio de Custos Fixos] * vendas[[#This Row],[Qtd.]], "")</f>
        <v/>
      </c>
    </row>
    <row r="132" spans="2:13">
      <c r="B132" s="40"/>
      <c r="C132" s="32" t="str">
        <f>IFERROR(INDEX(CaProdutos[ID], MATCH(vendas[[#This Row],[Item]], CaProdutos[Item], 0)), "")</f>
        <v/>
      </c>
      <c r="H132" s="1"/>
      <c r="I132" s="28"/>
      <c r="J132" s="33"/>
      <c r="K1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2" s="17" t="str">
        <f>IFERROR(vendas[[#This Row],[Lucro Bruto]] - ConfPrec[Rateio de Custos Fixos] * vendas[[#This Row],[Qtd.]], "")</f>
        <v/>
      </c>
    </row>
    <row r="133" spans="2:13">
      <c r="B133" s="40"/>
      <c r="C133" s="32" t="str">
        <f>IFERROR(INDEX(CaProdutos[ID], MATCH(vendas[[#This Row],[Item]], CaProdutos[Item], 0)), "")</f>
        <v/>
      </c>
      <c r="H133" s="1"/>
      <c r="I133" s="28"/>
      <c r="J133" s="33"/>
      <c r="K1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3" s="17" t="str">
        <f>IFERROR(vendas[[#This Row],[Lucro Bruto]] - ConfPrec[Rateio de Custos Fixos] * vendas[[#This Row],[Qtd.]], "")</f>
        <v/>
      </c>
    </row>
    <row r="134" spans="2:13">
      <c r="B134" s="40"/>
      <c r="C134" s="32" t="str">
        <f>IFERROR(INDEX(CaProdutos[ID], MATCH(vendas[[#This Row],[Item]], CaProdutos[Item], 0)), "")</f>
        <v/>
      </c>
      <c r="H134" s="1"/>
      <c r="I134" s="28"/>
      <c r="J134" s="33"/>
      <c r="K1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4" s="17" t="str">
        <f>IFERROR(vendas[[#This Row],[Lucro Bruto]] - ConfPrec[Rateio de Custos Fixos] * vendas[[#This Row],[Qtd.]], "")</f>
        <v/>
      </c>
    </row>
    <row r="135" spans="2:13">
      <c r="B135" s="40"/>
      <c r="C135" s="32" t="str">
        <f>IFERROR(INDEX(CaProdutos[ID], MATCH(vendas[[#This Row],[Item]], CaProdutos[Item], 0)), "")</f>
        <v/>
      </c>
      <c r="H135" s="1"/>
      <c r="I135" s="28"/>
      <c r="J135" s="33"/>
      <c r="K1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5" s="17" t="str">
        <f>IFERROR(vendas[[#This Row],[Lucro Bruto]] - ConfPrec[Rateio de Custos Fixos] * vendas[[#This Row],[Qtd.]], "")</f>
        <v/>
      </c>
    </row>
    <row r="136" spans="2:13">
      <c r="B136" s="41"/>
      <c r="C136" s="32" t="str">
        <f>IFERROR(INDEX(CaProdutos[ID], MATCH(vendas[[#This Row],[Item]], CaProdutos[Item], 0)), "")</f>
        <v/>
      </c>
      <c r="H136" s="1"/>
      <c r="I136" s="28"/>
      <c r="J136" s="33"/>
      <c r="K1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6" s="17" t="str">
        <f>IFERROR(vendas[[#This Row],[Lucro Bruto]] - ConfPrec[Rateio de Custos Fixos] * vendas[[#This Row],[Qtd.]], "")</f>
        <v/>
      </c>
    </row>
    <row r="137" spans="2:13">
      <c r="B137" t="s">
        <v>11</v>
      </c>
      <c r="H137" s="1">
        <f>SUBTOTAL(109,vendas[Qtd.])</f>
        <v>0</v>
      </c>
      <c r="I137" s="28">
        <f>SUBTOTAL(109,vendas[Valor])</f>
        <v>0</v>
      </c>
      <c r="J137" s="1"/>
      <c r="K137" s="17">
        <f>SUBTOTAL(109,vendas[Recebimento])</f>
        <v>0</v>
      </c>
      <c r="L137" s="17">
        <f>SUBTOTAL(109,vendas[Lucro Bruto])</f>
        <v>0</v>
      </c>
      <c r="M137" s="16">
        <f>SUBTOTAL(109,vendas[Lucro Líquido])</f>
        <v>0</v>
      </c>
    </row>
  </sheetData>
  <phoneticPr fontId="12" type="noConversion"/>
  <dataValidations count="2">
    <dataValidation type="list" allowBlank="1" showInputMessage="1" showErrorMessage="1" sqref="D5:G136" xr:uid="{4B0B62D2-3D12-476B-B535-54AD5AB4A75B}">
      <formula1>INDIRECT("CaProdutos[item]")</formula1>
    </dataValidation>
    <dataValidation type="list" allowBlank="1" showInputMessage="1" showErrorMessage="1" sqref="J5:J136" xr:uid="{3A0614C8-83F7-451A-B59E-C9A550E00A0E}">
      <formula1>INDIRECT("métodos[Método]")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EEE7-AAF1-4C8D-A464-67CADA09D9B3}">
  <sheetPr codeName="Planilha13"/>
  <dimension ref="B4:R164"/>
  <sheetViews>
    <sheetView topLeftCell="F1" workbookViewId="0">
      <selection activeCell="K5" sqref="K5"/>
    </sheetView>
  </sheetViews>
  <sheetFormatPr defaultRowHeight="15"/>
  <cols>
    <col min="2" max="6" width="15.7109375" customWidth="1"/>
    <col min="9" max="9" width="20.7109375" customWidth="1"/>
    <col min="10" max="12" width="15.7109375" customWidth="1"/>
    <col min="14" max="14" width="20.7109375" customWidth="1"/>
    <col min="15" max="15" width="15.7109375" customWidth="1"/>
    <col min="17" max="17" width="31.7109375" bestFit="1" customWidth="1"/>
    <col min="18" max="18" width="12.85546875" bestFit="1" customWidth="1"/>
  </cols>
  <sheetData>
    <row r="4" spans="2:18">
      <c r="B4" s="1" t="s">
        <v>43</v>
      </c>
      <c r="C4" s="1" t="s">
        <v>36</v>
      </c>
      <c r="D4" s="1" t="s">
        <v>37</v>
      </c>
      <c r="E4" s="1" t="s">
        <v>136</v>
      </c>
      <c r="F4" s="1" t="s">
        <v>137</v>
      </c>
      <c r="H4" s="1" t="s">
        <v>4</v>
      </c>
      <c r="I4" s="7" t="s">
        <v>0</v>
      </c>
      <c r="J4" s="1" t="s">
        <v>5</v>
      </c>
      <c r="K4" s="1" t="s">
        <v>2</v>
      </c>
      <c r="L4" s="1" t="s">
        <v>138</v>
      </c>
      <c r="N4" t="s">
        <v>21</v>
      </c>
      <c r="O4" s="1" t="s">
        <v>138</v>
      </c>
      <c r="Q4" s="35" t="s">
        <v>139</v>
      </c>
      <c r="R4" t="s">
        <v>142</v>
      </c>
    </row>
    <row r="5" spans="2:18">
      <c r="B5" s="28">
        <f>vendas[[#Totals],[Recebimento]]</f>
        <v>0</v>
      </c>
      <c r="C5" s="28">
        <f>vendas[[#Totals],[Lucro Bruto]]</f>
        <v>0</v>
      </c>
      <c r="D5" s="28">
        <f>vendas[[#Totals],[Lucro Líquido]]</f>
        <v>0</v>
      </c>
      <c r="E5" s="9">
        <f>relatório[[#This Row],[Faturamento]]-relatório[[#This Row],[Lucro Bruto]]</f>
        <v>0</v>
      </c>
      <c r="F5" s="9">
        <f>relatório[[#This Row],[Lucro Bruto]]-relatório[[#This Row],[Lucro Líquido]]</f>
        <v>0</v>
      </c>
      <c r="H5">
        <f>insumos[ID]</f>
        <v>5</v>
      </c>
      <c r="I5" t="str">
        <f>insumos[item]</f>
        <v>Abacaxi</v>
      </c>
      <c r="J5">
        <f>SUMIF(Ingredientes[item], Tabela17[[#This Row],[item]], Ingredientes[qtd.])</f>
        <v>0</v>
      </c>
      <c r="N5" t="str">
        <f>CFMensais[[#This Row],[Descrição]]</f>
        <v>Mão de obra</v>
      </c>
      <c r="O5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5" s="36" t="s">
        <v>98</v>
      </c>
      <c r="R5">
        <v>2</v>
      </c>
    </row>
    <row r="6" spans="2:18">
      <c r="H6">
        <f>insumos[ID]</f>
        <v>11</v>
      </c>
      <c r="I6" t="str">
        <f>insumos[item]</f>
        <v>Açúcar</v>
      </c>
      <c r="J6">
        <f>SUMIF(Ingredientes[item], Tabela17[[#This Row],[item]], Ingredientes[qtd.])</f>
        <v>0</v>
      </c>
      <c r="N6" t="str">
        <f>CFMensais[[#This Row],[Descrição]]</f>
        <v>Das MEI</v>
      </c>
      <c r="O6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6" s="36" t="s">
        <v>97</v>
      </c>
      <c r="R6">
        <v>4</v>
      </c>
    </row>
    <row r="7" spans="2:18">
      <c r="H7">
        <f>insumos[ID]</f>
        <v>6</v>
      </c>
      <c r="I7" t="str">
        <f>insumos[item]</f>
        <v>Alface</v>
      </c>
      <c r="J7">
        <f>SUMIF(Ingredientes[item], Tabela17[[#This Row],[item]], Ingredientes[qtd.])</f>
        <v>2</v>
      </c>
      <c r="N7">
        <f>CFMensais[[#This Row],[Descrição]]</f>
        <v>0</v>
      </c>
      <c r="O7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7" s="36" t="s">
        <v>17</v>
      </c>
      <c r="R7">
        <v>44</v>
      </c>
    </row>
    <row r="8" spans="2:18">
      <c r="H8">
        <f>insumos[ID]</f>
        <v>45</v>
      </c>
      <c r="I8" t="str">
        <f>insumos[item]</f>
        <v>Alho</v>
      </c>
      <c r="J8">
        <f>SUMIF(Ingredientes[item], Tabela17[[#This Row],[item]], Ingredientes[qtd.])</f>
        <v>10</v>
      </c>
      <c r="N8">
        <f>CFMensais[[#This Row],[Descrição]]</f>
        <v>0</v>
      </c>
      <c r="O8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8" s="36" t="s">
        <v>99</v>
      </c>
      <c r="R8">
        <v>1</v>
      </c>
    </row>
    <row r="9" spans="2:18">
      <c r="H9">
        <f>insumos[ID]</f>
        <v>35</v>
      </c>
      <c r="I9" t="str">
        <f>insumos[item]</f>
        <v>Amstel 350</v>
      </c>
      <c r="J9">
        <f>SUMIF(Ingredientes[item], Tabela17[[#This Row],[item]], Ingredientes[qtd.])</f>
        <v>0</v>
      </c>
      <c r="N9">
        <f>CFMensais[[#This Row],[Descrição]]</f>
        <v>0</v>
      </c>
      <c r="O9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9" s="36" t="s">
        <v>100</v>
      </c>
      <c r="R9">
        <v>27</v>
      </c>
    </row>
    <row r="10" spans="2:18">
      <c r="H10">
        <f>insumos[ID]</f>
        <v>44</v>
      </c>
      <c r="I10" t="str">
        <f>insumos[item]</f>
        <v>Arroz</v>
      </c>
      <c r="J10">
        <f>SUMIF(Ingredientes[item], Tabela17[[#This Row],[item]], Ingredientes[qtd.])</f>
        <v>480</v>
      </c>
      <c r="N10">
        <f>CFMensais[[#This Row],[Descrição]]</f>
        <v>0</v>
      </c>
      <c r="O10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0" s="36" t="s">
        <v>105</v>
      </c>
      <c r="R10">
        <v>3</v>
      </c>
    </row>
    <row r="11" spans="2:18">
      <c r="H11">
        <f>insumos[ID]</f>
        <v>51</v>
      </c>
      <c r="I11" t="str">
        <f>insumos[item]</f>
        <v>Azeitona Preta</v>
      </c>
      <c r="J11">
        <f>SUMIF(Ingredientes[item], Tabela17[[#This Row],[item]], Ingredientes[qtd.])</f>
        <v>30</v>
      </c>
      <c r="N11">
        <f>CFMensais[[#This Row],[Descrição]]</f>
        <v>0</v>
      </c>
      <c r="O11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1" s="36" t="s">
        <v>140</v>
      </c>
    </row>
    <row r="12" spans="2:18">
      <c r="H12">
        <f>insumos[ID]</f>
        <v>10</v>
      </c>
      <c r="I12" t="str">
        <f>insumos[item]</f>
        <v>Bacon</v>
      </c>
      <c r="J12">
        <f>SUMIF(Ingredientes[item], Tabela17[[#This Row],[item]], Ingredientes[qtd.])</f>
        <v>0</v>
      </c>
      <c r="N12" t="s">
        <v>11</v>
      </c>
      <c r="O12" s="9">
        <f>SUBTOTAL(109,Tabela18[valor])</f>
        <v>0</v>
      </c>
      <c r="Q12" s="36" t="s">
        <v>141</v>
      </c>
      <c r="R12">
        <v>81</v>
      </c>
    </row>
    <row r="13" spans="2:18">
      <c r="H13">
        <f>insumos[ID]</f>
        <v>12</v>
      </c>
      <c r="I13" t="str">
        <f>insumos[item]</f>
        <v>Barbecue</v>
      </c>
      <c r="J13">
        <f>SUMIF(Ingredientes[item], Tabela17[[#This Row],[item]], Ingredientes[qtd.])</f>
        <v>0</v>
      </c>
    </row>
    <row r="14" spans="2:18">
      <c r="H14">
        <f>insumos[ID]</f>
        <v>21</v>
      </c>
      <c r="I14" t="str">
        <f>insumos[item]</f>
        <v>Batata Palha</v>
      </c>
      <c r="J14">
        <f>SUMIF(Ingredientes[item], Tabela17[[#This Row],[item]], Ingredientes[qtd.])</f>
        <v>10</v>
      </c>
    </row>
    <row r="15" spans="2:18">
      <c r="H15">
        <f>insumos[ID]</f>
        <v>34</v>
      </c>
      <c r="I15" t="str">
        <f>insumos[item]</f>
        <v>Brahma Chopp 350</v>
      </c>
      <c r="J15">
        <f>SUMIF(Ingredientes[item], Tabela17[[#This Row],[item]], Ingredientes[qtd.])</f>
        <v>0</v>
      </c>
    </row>
    <row r="16" spans="2:18">
      <c r="H16">
        <f>insumos[ID]</f>
        <v>24</v>
      </c>
      <c r="I16" t="str">
        <f>insumos[item]</f>
        <v>Carvão</v>
      </c>
      <c r="J16">
        <f>SUMIF(Ingredientes[item], Tabela17[[#This Row],[item]], Ingredientes[qtd.])</f>
        <v>0</v>
      </c>
    </row>
    <row r="17" spans="8:10">
      <c r="H17">
        <f>insumos[ID]</f>
        <v>1</v>
      </c>
      <c r="I17" t="str">
        <f>insumos[item]</f>
        <v>Cebola Nacional</v>
      </c>
      <c r="J17">
        <f>SUMIF(Ingredientes[item], Tabela17[[#This Row],[item]], Ingredientes[qtd.])</f>
        <v>225</v>
      </c>
    </row>
    <row r="18" spans="8:10">
      <c r="H18">
        <f>insumos[ID]</f>
        <v>8</v>
      </c>
      <c r="I18" t="str">
        <f>insumos[item]</f>
        <v>Cebolinha e Salsa</v>
      </c>
      <c r="J18">
        <f>SUMIF(Ingredientes[item], Tabela17[[#This Row],[item]], Ingredientes[qtd.])</f>
        <v>0</v>
      </c>
    </row>
    <row r="19" spans="8:10">
      <c r="H19">
        <f>insumos[ID]</f>
        <v>47</v>
      </c>
      <c r="I19" t="str">
        <f>insumos[item]</f>
        <v>Cheddar</v>
      </c>
      <c r="J19">
        <f>SUMIF(Ingredientes[item], Tabela17[[#This Row],[item]], Ingredientes[qtd.])</f>
        <v>200</v>
      </c>
    </row>
    <row r="20" spans="8:10">
      <c r="H20">
        <f>insumos[ID]</f>
        <v>28</v>
      </c>
      <c r="I20" t="str">
        <f>insumos[item]</f>
        <v>Coca Cola 2,5</v>
      </c>
      <c r="J20">
        <f>SUMIF(Ingredientes[item], Tabela17[[#This Row],[item]], Ingredientes[qtd.])</f>
        <v>0</v>
      </c>
    </row>
    <row r="21" spans="8:10">
      <c r="H21">
        <f>insumos[ID]</f>
        <v>29</v>
      </c>
      <c r="I21" t="str">
        <f>insumos[item]</f>
        <v>Coca Cola Lata 350</v>
      </c>
      <c r="J21">
        <f>SUMIF(Ingredientes[item], Tabela17[[#This Row],[item]], Ingredientes[qtd.])</f>
        <v>0</v>
      </c>
    </row>
    <row r="22" spans="8:10">
      <c r="H22">
        <f>insumos[ID]</f>
        <v>38</v>
      </c>
      <c r="I22" t="str">
        <f>insumos[item]</f>
        <v>Coca Cola Zero 600</v>
      </c>
      <c r="J22">
        <f>SUMIF(Ingredientes[item], Tabela17[[#This Row],[item]], Ingredientes[qtd.])</f>
        <v>0</v>
      </c>
    </row>
    <row r="23" spans="8:10">
      <c r="H23">
        <f>insumos[ID]</f>
        <v>30</v>
      </c>
      <c r="I23" t="str">
        <f>insumos[item]</f>
        <v>Coca Cola Zero Lata 350</v>
      </c>
      <c r="J23">
        <f>SUMIF(Ingredientes[item], Tabela17[[#This Row],[item]], Ingredientes[qtd.])</f>
        <v>0</v>
      </c>
    </row>
    <row r="24" spans="8:10">
      <c r="H24">
        <f>insumos[ID]</f>
        <v>22</v>
      </c>
      <c r="I24" t="str">
        <f>insumos[item]</f>
        <v>Creme de Leite</v>
      </c>
      <c r="J24">
        <f>SUMIF(Ingredientes[item], Tabela17[[#This Row],[item]], Ingredientes[qtd.])</f>
        <v>100</v>
      </c>
    </row>
    <row r="25" spans="8:10">
      <c r="H25">
        <f>insumos[ID]</f>
        <v>41</v>
      </c>
      <c r="I25" t="str">
        <f>insumos[item]</f>
        <v>Espetos Bovinos</v>
      </c>
      <c r="J25">
        <f>SUMIF(Ingredientes[item], Tabela17[[#This Row],[item]], Ingredientes[qtd.])</f>
        <v>2</v>
      </c>
    </row>
    <row r="26" spans="8:10">
      <c r="H26">
        <f>insumos[ID]</f>
        <v>112</v>
      </c>
      <c r="I26" t="str">
        <f>insumos[item]</f>
        <v>Espetos De Coração</v>
      </c>
      <c r="J26">
        <f>SUMIF(Ingredientes[item], Tabela17[[#This Row],[item]], Ingredientes[qtd.])</f>
        <v>0</v>
      </c>
    </row>
    <row r="27" spans="8:10">
      <c r="H27">
        <f>insumos[ID]</f>
        <v>117</v>
      </c>
      <c r="I27" t="str">
        <f>insumos[item]</f>
        <v>Espetos de Cupim</v>
      </c>
      <c r="J27">
        <f>SUMIF(Ingredientes[item], Tabela17[[#This Row],[item]], Ingredientes[qtd.])</f>
        <v>0</v>
      </c>
    </row>
    <row r="28" spans="8:10">
      <c r="H28">
        <f>insumos[ID]</f>
        <v>114</v>
      </c>
      <c r="I28" t="str">
        <f>insumos[item]</f>
        <v>Espetos de Queijo</v>
      </c>
      <c r="J28">
        <f>SUMIF(Ingredientes[item], Tabela17[[#This Row],[item]], Ingredientes[qtd.])</f>
        <v>1</v>
      </c>
    </row>
    <row r="29" spans="8:10">
      <c r="H29">
        <f>insumos[ID]</f>
        <v>108</v>
      </c>
      <c r="I29" t="str">
        <f>insumos[item]</f>
        <v>Espetos Formadora</v>
      </c>
      <c r="J29">
        <f>SUMIF(Ingredientes[item], Tabela17[[#This Row],[item]], Ingredientes[qtd.])</f>
        <v>0</v>
      </c>
    </row>
    <row r="30" spans="8:10">
      <c r="H30">
        <f>insumos[ID]</f>
        <v>109</v>
      </c>
      <c r="I30" t="str">
        <f>insumos[item]</f>
        <v>Espetos Frango</v>
      </c>
      <c r="J30">
        <f>SUMIF(Ingredientes[item], Tabela17[[#This Row],[item]], Ingredientes[qtd.])</f>
        <v>1</v>
      </c>
    </row>
    <row r="31" spans="8:10">
      <c r="H31">
        <f>insumos[ID]</f>
        <v>113</v>
      </c>
      <c r="I31" t="str">
        <f>insumos[item]</f>
        <v>Espetos Kafta</v>
      </c>
      <c r="J31">
        <f>SUMIF(Ingredientes[item], Tabela17[[#This Row],[item]], Ingredientes[qtd.])</f>
        <v>0</v>
      </c>
    </row>
    <row r="32" spans="8:10">
      <c r="H32">
        <f>insumos[ID]</f>
        <v>110</v>
      </c>
      <c r="I32" t="str">
        <f>insumos[item]</f>
        <v>Espetos Linguiça</v>
      </c>
      <c r="J32">
        <f>SUMIF(Ingredientes[item], Tabela17[[#This Row],[item]], Ingredientes[qtd.])</f>
        <v>1</v>
      </c>
    </row>
    <row r="33" spans="8:10">
      <c r="H33">
        <f>insumos[ID]</f>
        <v>115</v>
      </c>
      <c r="I33" t="str">
        <f>insumos[item]</f>
        <v>Espetos Medalhão de Carne/Frango</v>
      </c>
      <c r="J33">
        <f>SUMIF(Ingredientes[item], Tabela17[[#This Row],[item]], Ingredientes[qtd.])</f>
        <v>1</v>
      </c>
    </row>
    <row r="34" spans="8:10">
      <c r="H34">
        <f>insumos[ID]</f>
        <v>116</v>
      </c>
      <c r="I34" t="str">
        <f>insumos[item]</f>
        <v>Espetos Medalhão de Queijo/Romeu e Julieta</v>
      </c>
      <c r="J34">
        <f>SUMIF(Ingredientes[item], Tabela17[[#This Row],[item]], Ingredientes[qtd.])</f>
        <v>1</v>
      </c>
    </row>
    <row r="35" spans="8:10">
      <c r="H35">
        <f>insumos[ID]</f>
        <v>111</v>
      </c>
      <c r="I35" t="str">
        <f>insumos[item]</f>
        <v>Espetos Suino</v>
      </c>
      <c r="J35">
        <f>SUMIF(Ingredientes[item], Tabela17[[#This Row],[item]], Ingredientes[qtd.])</f>
        <v>0</v>
      </c>
    </row>
    <row r="36" spans="8:10">
      <c r="H36">
        <f>insumos[ID]</f>
        <v>40</v>
      </c>
      <c r="I36" t="str">
        <f>insumos[item]</f>
        <v>Fanta 2</v>
      </c>
      <c r="J36">
        <f>SUMIF(Ingredientes[item], Tabela17[[#This Row],[item]], Ingredientes[qtd.])</f>
        <v>0</v>
      </c>
    </row>
    <row r="37" spans="8:10">
      <c r="H37">
        <f>insumos[ID]</f>
        <v>39</v>
      </c>
      <c r="I37" t="str">
        <f>insumos[item]</f>
        <v>Fanta 510</v>
      </c>
      <c r="J37">
        <f>SUMIF(Ingredientes[item], Tabela17[[#This Row],[item]], Ingredientes[qtd.])</f>
        <v>0</v>
      </c>
    </row>
    <row r="38" spans="8:10">
      <c r="H38">
        <f>insumos[ID]</f>
        <v>27</v>
      </c>
      <c r="I38" t="str">
        <f>insumos[item]</f>
        <v>Farofa Temperada</v>
      </c>
      <c r="J38">
        <f>SUMIF(Ingredientes[item], Tabela17[[#This Row],[item]], Ingredientes[qtd.])</f>
        <v>80</v>
      </c>
    </row>
    <row r="39" spans="8:10">
      <c r="H39">
        <f>insumos[ID]</f>
        <v>32</v>
      </c>
      <c r="I39" t="str">
        <f>insumos[item]</f>
        <v>Funada 2</v>
      </c>
      <c r="J39">
        <f>SUMIF(Ingredientes[item], Tabela17[[#This Row],[item]], Ingredientes[qtd.])</f>
        <v>0</v>
      </c>
    </row>
    <row r="40" spans="8:10">
      <c r="H40">
        <f>insumos[ID]</f>
        <v>31</v>
      </c>
      <c r="I40" t="str">
        <f>insumos[item]</f>
        <v>Guaraná Lata 350</v>
      </c>
      <c r="J40">
        <f>SUMIF(Ingredientes[item], Tabela17[[#This Row],[item]], Ingredientes[qtd.])</f>
        <v>0</v>
      </c>
    </row>
    <row r="41" spans="8:10">
      <c r="H41">
        <f>insumos[ID]</f>
        <v>36</v>
      </c>
      <c r="I41" t="str">
        <f>insumos[item]</f>
        <v>Heineken L.N 330</v>
      </c>
      <c r="J41">
        <f>SUMIF(Ingredientes[item], Tabela17[[#This Row],[item]], Ingredientes[qtd.])</f>
        <v>0</v>
      </c>
    </row>
    <row r="42" spans="8:10">
      <c r="H42">
        <f>insumos[ID]</f>
        <v>14</v>
      </c>
      <c r="I42" t="str">
        <f>insumos[item]</f>
        <v>Ketchup</v>
      </c>
      <c r="J42">
        <f>SUMIF(Ingredientes[item], Tabela17[[#This Row],[item]], Ingredientes[qtd.])</f>
        <v>0</v>
      </c>
    </row>
    <row r="43" spans="8:10">
      <c r="H43">
        <f>insumos[ID]</f>
        <v>15</v>
      </c>
      <c r="I43" t="str">
        <f>insumos[item]</f>
        <v>Ketchup Sachê</v>
      </c>
      <c r="J43">
        <f>SUMIF(Ingredientes[item], Tabela17[[#This Row],[item]], Ingredientes[qtd.])</f>
        <v>0</v>
      </c>
    </row>
    <row r="44" spans="8:10">
      <c r="H44">
        <f>insumos[ID]</f>
        <v>23</v>
      </c>
      <c r="I44" t="str">
        <f>insumos[item]</f>
        <v>Leite</v>
      </c>
      <c r="J44">
        <f>SUMIF(Ingredientes[item], Tabela17[[#This Row],[item]], Ingredientes[qtd.])</f>
        <v>0</v>
      </c>
    </row>
    <row r="45" spans="8:10">
      <c r="H45">
        <f>insumos[ID]</f>
        <v>20</v>
      </c>
      <c r="I45" t="str">
        <f>insumos[item]</f>
        <v>Maionese</v>
      </c>
      <c r="J45">
        <f>SUMIF(Ingredientes[item], Tabela17[[#This Row],[item]], Ingredientes[qtd.])</f>
        <v>20</v>
      </c>
    </row>
    <row r="46" spans="8:10">
      <c r="H46">
        <f>insumos[ID]</f>
        <v>16</v>
      </c>
      <c r="I46" t="str">
        <f>insumos[item]</f>
        <v>Maionese Sachê</v>
      </c>
      <c r="J46">
        <f>SUMIF(Ingredientes[item], Tabela17[[#This Row],[item]], Ingredientes[qtd.])</f>
        <v>0</v>
      </c>
    </row>
    <row r="47" spans="8:10">
      <c r="H47">
        <f>insumos[ID]</f>
        <v>7</v>
      </c>
      <c r="I47" t="str">
        <f>insumos[item]</f>
        <v>Mandioca Descascada</v>
      </c>
      <c r="J47">
        <f>SUMIF(Ingredientes[item], Tabela17[[#This Row],[item]], Ingredientes[qtd.])</f>
        <v>1000</v>
      </c>
    </row>
    <row r="48" spans="8:10">
      <c r="H48">
        <f>insumos[ID]</f>
        <v>13</v>
      </c>
      <c r="I48" t="str">
        <f>insumos[item]</f>
        <v>Mostarda</v>
      </c>
      <c r="J48">
        <f>SUMIF(Ingredientes[item], Tabela17[[#This Row],[item]], Ingredientes[qtd.])</f>
        <v>0</v>
      </c>
    </row>
    <row r="49" spans="8:10">
      <c r="H49">
        <f>insumos[ID]</f>
        <v>17</v>
      </c>
      <c r="I49" t="str">
        <f>insumos[item]</f>
        <v>Mostarda Sachê</v>
      </c>
      <c r="J49">
        <f>SUMIF(Ingredientes[item], Tabela17[[#This Row],[item]], Ingredientes[qtd.])</f>
        <v>0</v>
      </c>
    </row>
    <row r="50" spans="8:10">
      <c r="H50">
        <f>insumos[ID]</f>
        <v>46</v>
      </c>
      <c r="I50" t="str">
        <f>insumos[item]</f>
        <v>Óleo de soja</v>
      </c>
      <c r="J50">
        <f>SUMIF(Ingredientes[item], Tabela17[[#This Row],[item]], Ingredientes[qtd.])</f>
        <v>60</v>
      </c>
    </row>
    <row r="51" spans="8:10">
      <c r="H51">
        <f>insumos[ID]</f>
        <v>33</v>
      </c>
      <c r="I51" t="str">
        <f>insumos[item]</f>
        <v>Original Garrafa 300</v>
      </c>
      <c r="J51">
        <f>SUMIF(Ingredientes[item], Tabela17[[#This Row],[item]], Ingredientes[qtd.])</f>
        <v>0</v>
      </c>
    </row>
    <row r="52" spans="8:10">
      <c r="H52">
        <f>insumos[ID]</f>
        <v>42</v>
      </c>
      <c r="I52" t="str">
        <f>insumos[item]</f>
        <v>Pão Baguete 15cm</v>
      </c>
      <c r="J52">
        <f>SUMIF(Ingredientes[item], Tabela17[[#This Row],[item]], Ingredientes[qtd.])</f>
        <v>0</v>
      </c>
    </row>
    <row r="53" spans="8:10">
      <c r="H53">
        <f>insumos[ID]</f>
        <v>43</v>
      </c>
      <c r="I53" t="str">
        <f>insumos[item]</f>
        <v>Pão Baguete 30cm (comper)</v>
      </c>
      <c r="J53">
        <f>SUMIF(Ingredientes[item], Tabela17[[#This Row],[item]], Ingredientes[qtd.])</f>
        <v>0</v>
      </c>
    </row>
    <row r="54" spans="8:10">
      <c r="H54">
        <f>insumos[ID]</f>
        <v>50</v>
      </c>
      <c r="I54" t="str">
        <f>insumos[item]</f>
        <v>Pão de Alho</v>
      </c>
      <c r="J54">
        <f>SUMIF(Ingredientes[item], Tabela17[[#This Row],[item]], Ingredientes[qtd.])</f>
        <v>0</v>
      </c>
    </row>
    <row r="55" spans="8:10">
      <c r="H55">
        <f>insumos[ID]</f>
        <v>18</v>
      </c>
      <c r="I55" t="str">
        <f>insumos[item]</f>
        <v>Picles Conserva</v>
      </c>
      <c r="J55">
        <f>SUMIF(Ingredientes[item], Tabela17[[#This Row],[item]], Ingredientes[qtd.])</f>
        <v>30</v>
      </c>
    </row>
    <row r="56" spans="8:10">
      <c r="H56">
        <f>insumos[ID]</f>
        <v>9</v>
      </c>
      <c r="I56" t="str">
        <f>insumos[item]</f>
        <v>Pimentão Verde</v>
      </c>
      <c r="J56">
        <f>SUMIF(Ingredientes[item], Tabela17[[#This Row],[item]], Ingredientes[qtd.])</f>
        <v>70</v>
      </c>
    </row>
    <row r="57" spans="8:10">
      <c r="H57">
        <f>insumos[ID]</f>
        <v>2</v>
      </c>
      <c r="I57" t="str">
        <f>insumos[item]</f>
        <v>Polpa Cupuaçú</v>
      </c>
      <c r="J57">
        <f>SUMIF(Ingredientes[item], Tabela17[[#This Row],[item]], Ingredientes[qtd.])</f>
        <v>0</v>
      </c>
    </row>
    <row r="58" spans="8:10">
      <c r="H58">
        <f>insumos[ID]</f>
        <v>25</v>
      </c>
      <c r="I58" t="str">
        <f>insumos[item]</f>
        <v>Queijo Coalho</v>
      </c>
      <c r="J58">
        <f>SUMIF(Ingredientes[item], Tabela17[[#This Row],[item]], Ingredientes[qtd.])</f>
        <v>0</v>
      </c>
    </row>
    <row r="59" spans="8:10">
      <c r="H59">
        <f>insumos[ID]</f>
        <v>48</v>
      </c>
      <c r="I59" t="str">
        <f>insumos[item]</f>
        <v>Queijo Mussarela</v>
      </c>
      <c r="J59">
        <f>SUMIF(Ingredientes[item], Tabela17[[#This Row],[item]], Ingredientes[qtd.])</f>
        <v>50</v>
      </c>
    </row>
    <row r="60" spans="8:10">
      <c r="H60">
        <f>insumos[ID]</f>
        <v>26</v>
      </c>
      <c r="I60" t="str">
        <f>insumos[item]</f>
        <v>Queijo Parmesão</v>
      </c>
      <c r="J60">
        <f>SUMIF(Ingredientes[item], Tabela17[[#This Row],[item]], Ingredientes[qtd.])</f>
        <v>50</v>
      </c>
    </row>
    <row r="61" spans="8:10">
      <c r="H61">
        <f>insumos[ID]</f>
        <v>49</v>
      </c>
      <c r="I61" t="str">
        <f>insumos[item]</f>
        <v>Queijo Ralado</v>
      </c>
      <c r="J61">
        <f>SUMIF(Ingredientes[item], Tabela17[[#This Row],[item]], Ingredientes[qtd.])</f>
        <v>50</v>
      </c>
    </row>
    <row r="62" spans="8:10">
      <c r="H62">
        <f>insumos[ID]</f>
        <v>37</v>
      </c>
      <c r="I62" t="str">
        <f>insumos[item]</f>
        <v>Skol 269</v>
      </c>
      <c r="J62">
        <f>SUMIF(Ingredientes[item], Tabela17[[#This Row],[item]], Ingredientes[qtd.])</f>
        <v>0</v>
      </c>
    </row>
    <row r="63" spans="8:10">
      <c r="H63">
        <f>insumos[ID]</f>
        <v>4</v>
      </c>
      <c r="I63" t="str">
        <f>insumos[item]</f>
        <v>Tomate Italiano</v>
      </c>
      <c r="J63">
        <f>SUMIF(Ingredientes[item], Tabela17[[#This Row],[item]], Ingredientes[qtd.])</f>
        <v>0</v>
      </c>
    </row>
    <row r="64" spans="8:10">
      <c r="H64">
        <f>insumos[ID]</f>
        <v>3</v>
      </c>
      <c r="I64" t="str">
        <f>insumos[item]</f>
        <v>Tomate Salada</v>
      </c>
      <c r="J64">
        <f>SUMIF(Ingredientes[item], Tabela17[[#This Row],[item]], Ingredientes[qtd.])</f>
        <v>340</v>
      </c>
    </row>
    <row r="65" spans="8:10">
      <c r="H65">
        <f>insumos[ID]</f>
        <v>19</v>
      </c>
      <c r="I65" t="str">
        <f>insumos[item]</f>
        <v>Vinagre Álcool</v>
      </c>
      <c r="J65">
        <f>SUMIF(Ingredientes[item], Tabela17[[#This Row],[item]], Ingredientes[qtd.])</f>
        <v>50</v>
      </c>
    </row>
    <row r="66" spans="8:10">
      <c r="H66">
        <f>insumos[ID]</f>
        <v>52</v>
      </c>
      <c r="I66">
        <f>insumos[item]</f>
        <v>0</v>
      </c>
      <c r="J66">
        <f>SUMIF(Ingredientes[item], Tabela17[[#This Row],[item]], Ingredientes[qtd.])</f>
        <v>0</v>
      </c>
    </row>
    <row r="67" spans="8:10">
      <c r="H67">
        <f>insumos[ID]</f>
        <v>53</v>
      </c>
      <c r="I67">
        <f>insumos[item]</f>
        <v>0</v>
      </c>
      <c r="J67">
        <f>SUMIF(Ingredientes[item], Tabela17[[#This Row],[item]], Ingredientes[qtd.])</f>
        <v>0</v>
      </c>
    </row>
    <row r="68" spans="8:10">
      <c r="H68">
        <f>insumos[ID]</f>
        <v>54</v>
      </c>
      <c r="I68">
        <f>insumos[item]</f>
        <v>0</v>
      </c>
      <c r="J68">
        <f>SUMIF(Ingredientes[item], Tabela17[[#This Row],[item]], Ingredientes[qtd.])</f>
        <v>0</v>
      </c>
    </row>
    <row r="69" spans="8:10">
      <c r="H69">
        <f>insumos[ID]</f>
        <v>55</v>
      </c>
      <c r="I69">
        <f>insumos[item]</f>
        <v>0</v>
      </c>
      <c r="J69">
        <f>SUMIF(Ingredientes[item], Tabela17[[#This Row],[item]], Ingredientes[qtd.])</f>
        <v>0</v>
      </c>
    </row>
    <row r="70" spans="8:10">
      <c r="H70">
        <f>insumos[ID]</f>
        <v>56</v>
      </c>
      <c r="I70">
        <f>insumos[item]</f>
        <v>0</v>
      </c>
      <c r="J70">
        <f>SUMIF(Ingredientes[item], Tabela17[[#This Row],[item]], Ingredientes[qtd.])</f>
        <v>0</v>
      </c>
    </row>
    <row r="71" spans="8:10">
      <c r="H71">
        <f>insumos[ID]</f>
        <v>57</v>
      </c>
      <c r="I71">
        <f>insumos[item]</f>
        <v>0</v>
      </c>
      <c r="J71">
        <f>SUMIF(Ingredientes[item], Tabela17[[#This Row],[item]], Ingredientes[qtd.])</f>
        <v>0</v>
      </c>
    </row>
    <row r="72" spans="8:10">
      <c r="H72">
        <f>insumos[ID]</f>
        <v>58</v>
      </c>
      <c r="I72">
        <f>insumos[item]</f>
        <v>0</v>
      </c>
      <c r="J72">
        <f>SUMIF(Ingredientes[item], Tabela17[[#This Row],[item]], Ingredientes[qtd.])</f>
        <v>0</v>
      </c>
    </row>
    <row r="73" spans="8:10">
      <c r="H73">
        <f>insumos[ID]</f>
        <v>59</v>
      </c>
      <c r="I73">
        <f>insumos[item]</f>
        <v>0</v>
      </c>
      <c r="J73">
        <f>SUMIF(Ingredientes[item], Tabela17[[#This Row],[item]], Ingredientes[qtd.])</f>
        <v>0</v>
      </c>
    </row>
    <row r="74" spans="8:10">
      <c r="H74">
        <f>insumos[ID]</f>
        <v>60</v>
      </c>
      <c r="I74">
        <f>insumos[item]</f>
        <v>0</v>
      </c>
      <c r="J74">
        <f>SUMIF(Ingredientes[item], Tabela17[[#This Row],[item]], Ingredientes[qtd.])</f>
        <v>0</v>
      </c>
    </row>
    <row r="75" spans="8:10">
      <c r="H75">
        <f>insumos[ID]</f>
        <v>61</v>
      </c>
      <c r="I75">
        <f>insumos[item]</f>
        <v>0</v>
      </c>
      <c r="J75">
        <f>SUMIF(Ingredientes[item], Tabela17[[#This Row],[item]], Ingredientes[qtd.])</f>
        <v>0</v>
      </c>
    </row>
    <row r="76" spans="8:10">
      <c r="H76">
        <f>insumos[ID]</f>
        <v>62</v>
      </c>
      <c r="I76">
        <f>insumos[item]</f>
        <v>0</v>
      </c>
      <c r="J76">
        <f>SUMIF(Ingredientes[item], Tabela17[[#This Row],[item]], Ingredientes[qtd.])</f>
        <v>0</v>
      </c>
    </row>
    <row r="77" spans="8:10">
      <c r="H77">
        <f>insumos[ID]</f>
        <v>63</v>
      </c>
      <c r="I77">
        <f>insumos[item]</f>
        <v>0</v>
      </c>
      <c r="J77">
        <f>SUMIF(Ingredientes[item], Tabela17[[#This Row],[item]], Ingredientes[qtd.])</f>
        <v>0</v>
      </c>
    </row>
    <row r="78" spans="8:10">
      <c r="H78">
        <f>insumos[ID]</f>
        <v>64</v>
      </c>
      <c r="I78">
        <f>insumos[item]</f>
        <v>0</v>
      </c>
      <c r="J78">
        <f>SUMIF(Ingredientes[item], Tabela17[[#This Row],[item]], Ingredientes[qtd.])</f>
        <v>0</v>
      </c>
    </row>
    <row r="79" spans="8:10">
      <c r="H79">
        <f>insumos[ID]</f>
        <v>65</v>
      </c>
      <c r="I79">
        <f>insumos[item]</f>
        <v>0</v>
      </c>
      <c r="J79">
        <f>SUMIF(Ingredientes[item], Tabela17[[#This Row],[item]], Ingredientes[qtd.])</f>
        <v>0</v>
      </c>
    </row>
    <row r="80" spans="8:10">
      <c r="H80">
        <f>insumos[ID]</f>
        <v>66</v>
      </c>
      <c r="I80">
        <f>insumos[item]</f>
        <v>0</v>
      </c>
      <c r="J80">
        <f>SUMIF(Ingredientes[item], Tabela17[[#This Row],[item]], Ingredientes[qtd.])</f>
        <v>0</v>
      </c>
    </row>
    <row r="81" spans="8:10">
      <c r="H81">
        <f>insumos[ID]</f>
        <v>67</v>
      </c>
      <c r="I81">
        <f>insumos[item]</f>
        <v>0</v>
      </c>
      <c r="J81">
        <f>SUMIF(Ingredientes[item], Tabela17[[#This Row],[item]], Ingredientes[qtd.])</f>
        <v>0</v>
      </c>
    </row>
    <row r="82" spans="8:10">
      <c r="H82">
        <f>insumos[ID]</f>
        <v>68</v>
      </c>
      <c r="I82">
        <f>insumos[item]</f>
        <v>0</v>
      </c>
      <c r="J82">
        <f>SUMIF(Ingredientes[item], Tabela17[[#This Row],[item]], Ingredientes[qtd.])</f>
        <v>0</v>
      </c>
    </row>
    <row r="83" spans="8:10">
      <c r="H83">
        <f>insumos[ID]</f>
        <v>69</v>
      </c>
      <c r="I83">
        <f>insumos[item]</f>
        <v>0</v>
      </c>
      <c r="J83">
        <f>SUMIF(Ingredientes[item], Tabela17[[#This Row],[item]], Ingredientes[qtd.])</f>
        <v>0</v>
      </c>
    </row>
    <row r="84" spans="8:10">
      <c r="H84">
        <f>insumos[ID]</f>
        <v>70</v>
      </c>
      <c r="I84">
        <f>insumos[item]</f>
        <v>0</v>
      </c>
      <c r="J84">
        <f>SUMIF(Ingredientes[item], Tabela17[[#This Row],[item]], Ingredientes[qtd.])</f>
        <v>0</v>
      </c>
    </row>
    <row r="85" spans="8:10">
      <c r="H85">
        <f>insumos[ID]</f>
        <v>71</v>
      </c>
      <c r="I85">
        <f>insumos[item]</f>
        <v>0</v>
      </c>
      <c r="J85">
        <f>SUMIF(Ingredientes[item], Tabela17[[#This Row],[item]], Ingredientes[qtd.])</f>
        <v>0</v>
      </c>
    </row>
    <row r="86" spans="8:10">
      <c r="H86">
        <f>insumos[ID]</f>
        <v>72</v>
      </c>
      <c r="I86">
        <f>insumos[item]</f>
        <v>0</v>
      </c>
      <c r="J86">
        <f>SUMIF(Ingredientes[item], Tabela17[[#This Row],[item]], Ingredientes[qtd.])</f>
        <v>0</v>
      </c>
    </row>
    <row r="87" spans="8:10">
      <c r="H87">
        <f>insumos[ID]</f>
        <v>73</v>
      </c>
      <c r="I87">
        <f>insumos[item]</f>
        <v>0</v>
      </c>
      <c r="J87">
        <f>SUMIF(Ingredientes[item], Tabela17[[#This Row],[item]], Ingredientes[qtd.])</f>
        <v>0</v>
      </c>
    </row>
    <row r="88" spans="8:10">
      <c r="H88">
        <f>insumos[ID]</f>
        <v>74</v>
      </c>
      <c r="I88">
        <f>insumos[item]</f>
        <v>0</v>
      </c>
      <c r="J88">
        <f>SUMIF(Ingredientes[item], Tabela17[[#This Row],[item]], Ingredientes[qtd.])</f>
        <v>0</v>
      </c>
    </row>
    <row r="89" spans="8:10">
      <c r="H89">
        <f>insumos[ID]</f>
        <v>75</v>
      </c>
      <c r="I89">
        <f>insumos[item]</f>
        <v>0</v>
      </c>
      <c r="J89">
        <f>SUMIF(Ingredientes[item], Tabela17[[#This Row],[item]], Ingredientes[qtd.])</f>
        <v>0</v>
      </c>
    </row>
    <row r="90" spans="8:10">
      <c r="H90">
        <f>insumos[ID]</f>
        <v>76</v>
      </c>
      <c r="I90">
        <f>insumos[item]</f>
        <v>0</v>
      </c>
      <c r="J90">
        <f>SUMIF(Ingredientes[item], Tabela17[[#This Row],[item]], Ingredientes[qtd.])</f>
        <v>0</v>
      </c>
    </row>
    <row r="91" spans="8:10">
      <c r="H91">
        <f>insumos[ID]</f>
        <v>77</v>
      </c>
      <c r="I91">
        <f>insumos[item]</f>
        <v>0</v>
      </c>
      <c r="J91">
        <f>SUMIF(Ingredientes[item], Tabela17[[#This Row],[item]], Ingredientes[qtd.])</f>
        <v>0</v>
      </c>
    </row>
    <row r="92" spans="8:10">
      <c r="H92">
        <f>insumos[ID]</f>
        <v>78</v>
      </c>
      <c r="I92">
        <f>insumos[item]</f>
        <v>0</v>
      </c>
      <c r="J92">
        <f>SUMIF(Ingredientes[item], Tabela17[[#This Row],[item]], Ingredientes[qtd.])</f>
        <v>0</v>
      </c>
    </row>
    <row r="93" spans="8:10">
      <c r="H93">
        <f>insumos[ID]</f>
        <v>79</v>
      </c>
      <c r="I93">
        <f>insumos[item]</f>
        <v>0</v>
      </c>
      <c r="J93">
        <f>SUMIF(Ingredientes[item], Tabela17[[#This Row],[item]], Ingredientes[qtd.])</f>
        <v>0</v>
      </c>
    </row>
    <row r="94" spans="8:10">
      <c r="H94">
        <f>insumos[ID]</f>
        <v>80</v>
      </c>
      <c r="I94">
        <f>insumos[item]</f>
        <v>0</v>
      </c>
      <c r="J94">
        <f>SUMIF(Ingredientes[item], Tabela17[[#This Row],[item]], Ingredientes[qtd.])</f>
        <v>0</v>
      </c>
    </row>
    <row r="95" spans="8:10">
      <c r="H95">
        <f>insumos[ID]</f>
        <v>81</v>
      </c>
      <c r="I95">
        <f>insumos[item]</f>
        <v>0</v>
      </c>
      <c r="J95">
        <f>SUMIF(Ingredientes[item], Tabela17[[#This Row],[item]], Ingredientes[qtd.])</f>
        <v>0</v>
      </c>
    </row>
    <row r="96" spans="8:10">
      <c r="H96">
        <f>insumos[ID]</f>
        <v>82</v>
      </c>
      <c r="I96">
        <f>insumos[item]</f>
        <v>0</v>
      </c>
      <c r="J96">
        <f>SUMIF(Ingredientes[item], Tabela17[[#This Row],[item]], Ingredientes[qtd.])</f>
        <v>0</v>
      </c>
    </row>
    <row r="97" spans="8:10">
      <c r="H97">
        <f>insumos[ID]</f>
        <v>83</v>
      </c>
      <c r="I97">
        <f>insumos[item]</f>
        <v>0</v>
      </c>
      <c r="J97">
        <f>SUMIF(Ingredientes[item], Tabela17[[#This Row],[item]], Ingredientes[qtd.])</f>
        <v>0</v>
      </c>
    </row>
    <row r="98" spans="8:10">
      <c r="H98">
        <f>insumos[ID]</f>
        <v>84</v>
      </c>
      <c r="I98">
        <f>insumos[item]</f>
        <v>0</v>
      </c>
      <c r="J98">
        <f>SUMIF(Ingredientes[item], Tabela17[[#This Row],[item]], Ingredientes[qtd.])</f>
        <v>0</v>
      </c>
    </row>
    <row r="99" spans="8:10">
      <c r="H99">
        <f>insumos[ID]</f>
        <v>85</v>
      </c>
      <c r="I99">
        <f>insumos[item]</f>
        <v>0</v>
      </c>
      <c r="J99">
        <f>SUMIF(Ingredientes[item], Tabela17[[#This Row],[item]], Ingredientes[qtd.])</f>
        <v>0</v>
      </c>
    </row>
    <row r="100" spans="8:10">
      <c r="H100">
        <f>insumos[ID]</f>
        <v>86</v>
      </c>
      <c r="I100">
        <f>insumos[item]</f>
        <v>0</v>
      </c>
      <c r="J100">
        <f>SUMIF(Ingredientes[item], Tabela17[[#This Row],[item]], Ingredientes[qtd.])</f>
        <v>0</v>
      </c>
    </row>
    <row r="101" spans="8:10">
      <c r="H101">
        <f>insumos[ID]</f>
        <v>87</v>
      </c>
      <c r="I101">
        <f>insumos[item]</f>
        <v>0</v>
      </c>
      <c r="J101">
        <f>SUMIF(Ingredientes[item], Tabela17[[#This Row],[item]], Ingredientes[qtd.])</f>
        <v>0</v>
      </c>
    </row>
    <row r="102" spans="8:10">
      <c r="H102">
        <f>insumos[ID]</f>
        <v>88</v>
      </c>
      <c r="I102">
        <f>insumos[item]</f>
        <v>0</v>
      </c>
      <c r="J102">
        <f>SUMIF(Ingredientes[item], Tabela17[[#This Row],[item]], Ingredientes[qtd.])</f>
        <v>0</v>
      </c>
    </row>
    <row r="103" spans="8:10">
      <c r="H103">
        <f>insumos[ID]</f>
        <v>89</v>
      </c>
      <c r="I103">
        <f>insumos[item]</f>
        <v>0</v>
      </c>
      <c r="J103">
        <f>SUMIF(Ingredientes[item], Tabela17[[#This Row],[item]], Ingredientes[qtd.])</f>
        <v>0</v>
      </c>
    </row>
    <row r="104" spans="8:10">
      <c r="H104">
        <f>insumos[ID]</f>
        <v>90</v>
      </c>
      <c r="I104">
        <f>insumos[item]</f>
        <v>0</v>
      </c>
      <c r="J104">
        <f>SUMIF(Ingredientes[item], Tabela17[[#This Row],[item]], Ingredientes[qtd.])</f>
        <v>0</v>
      </c>
    </row>
    <row r="105" spans="8:10">
      <c r="H105">
        <f>insumos[ID]</f>
        <v>91</v>
      </c>
      <c r="I105">
        <f>insumos[item]</f>
        <v>0</v>
      </c>
      <c r="J105">
        <f>SUMIF(Ingredientes[item], Tabela17[[#This Row],[item]], Ingredientes[qtd.])</f>
        <v>0</v>
      </c>
    </row>
    <row r="106" spans="8:10">
      <c r="H106">
        <f>insumos[ID]</f>
        <v>92</v>
      </c>
      <c r="I106">
        <f>insumos[item]</f>
        <v>0</v>
      </c>
      <c r="J106">
        <f>SUMIF(Ingredientes[item], Tabela17[[#This Row],[item]], Ingredientes[qtd.])</f>
        <v>0</v>
      </c>
    </row>
    <row r="107" spans="8:10">
      <c r="H107">
        <f>insumos[ID]</f>
        <v>93</v>
      </c>
      <c r="I107">
        <f>insumos[item]</f>
        <v>0</v>
      </c>
      <c r="J107">
        <f>SUMIF(Ingredientes[item], Tabela17[[#This Row],[item]], Ingredientes[qtd.])</f>
        <v>0</v>
      </c>
    </row>
    <row r="108" spans="8:10">
      <c r="H108">
        <f>insumos[ID]</f>
        <v>94</v>
      </c>
      <c r="I108">
        <f>insumos[item]</f>
        <v>0</v>
      </c>
      <c r="J108">
        <f>SUMIF(Ingredientes[item], Tabela17[[#This Row],[item]], Ingredientes[qtd.])</f>
        <v>0</v>
      </c>
    </row>
    <row r="109" spans="8:10">
      <c r="H109">
        <f>insumos[ID]</f>
        <v>95</v>
      </c>
      <c r="I109">
        <f>insumos[item]</f>
        <v>0</v>
      </c>
      <c r="J109">
        <f>SUMIF(Ingredientes[item], Tabela17[[#This Row],[item]], Ingredientes[qtd.])</f>
        <v>0</v>
      </c>
    </row>
    <row r="110" spans="8:10">
      <c r="H110">
        <f>insumos[ID]</f>
        <v>96</v>
      </c>
      <c r="I110">
        <f>insumos[item]</f>
        <v>0</v>
      </c>
      <c r="J110">
        <f>SUMIF(Ingredientes[item], Tabela17[[#This Row],[item]], Ingredientes[qtd.])</f>
        <v>0</v>
      </c>
    </row>
    <row r="111" spans="8:10">
      <c r="H111">
        <f>insumos[ID]</f>
        <v>97</v>
      </c>
      <c r="I111">
        <f>insumos[item]</f>
        <v>0</v>
      </c>
      <c r="J111">
        <f>SUMIF(Ingredientes[item], Tabela17[[#This Row],[item]], Ingredientes[qtd.])</f>
        <v>0</v>
      </c>
    </row>
    <row r="112" spans="8:10">
      <c r="H112">
        <f>insumos[ID]</f>
        <v>98</v>
      </c>
      <c r="I112">
        <f>insumos[item]</f>
        <v>0</v>
      </c>
      <c r="J112">
        <f>SUMIF(Ingredientes[item], Tabela17[[#This Row],[item]], Ingredientes[qtd.])</f>
        <v>0</v>
      </c>
    </row>
    <row r="113" spans="8:10">
      <c r="H113">
        <f>insumos[ID]</f>
        <v>99</v>
      </c>
      <c r="I113">
        <f>insumos[item]</f>
        <v>0</v>
      </c>
      <c r="J113">
        <f>SUMIF(Ingredientes[item], Tabela17[[#This Row],[item]], Ingredientes[qtd.])</f>
        <v>0</v>
      </c>
    </row>
    <row r="114" spans="8:10">
      <c r="H114">
        <f>insumos[ID]</f>
        <v>100</v>
      </c>
      <c r="I114">
        <f>insumos[item]</f>
        <v>0</v>
      </c>
      <c r="J114">
        <f>SUMIF(Ingredientes[item], Tabela17[[#This Row],[item]], Ingredientes[qtd.])</f>
        <v>0</v>
      </c>
    </row>
    <row r="115" spans="8:10">
      <c r="H115">
        <f>insumos[ID]</f>
        <v>101</v>
      </c>
      <c r="I115">
        <f>insumos[item]</f>
        <v>0</v>
      </c>
      <c r="J115">
        <f>SUMIF(Ingredientes[item], Tabela17[[#This Row],[item]], Ingredientes[qtd.])</f>
        <v>0</v>
      </c>
    </row>
    <row r="116" spans="8:10">
      <c r="H116">
        <f>insumos[ID]</f>
        <v>102</v>
      </c>
      <c r="I116">
        <f>insumos[item]</f>
        <v>0</v>
      </c>
      <c r="J116">
        <f>SUMIF(Ingredientes[item], Tabela17[[#This Row],[item]], Ingredientes[qtd.])</f>
        <v>0</v>
      </c>
    </row>
    <row r="117" spans="8:10">
      <c r="H117">
        <f>insumos[ID]</f>
        <v>103</v>
      </c>
      <c r="I117">
        <f>insumos[item]</f>
        <v>0</v>
      </c>
      <c r="J117">
        <f>SUMIF(Ingredientes[item], Tabela17[[#This Row],[item]], Ingredientes[qtd.])</f>
        <v>0</v>
      </c>
    </row>
    <row r="118" spans="8:10">
      <c r="H118">
        <f>insumos[ID]</f>
        <v>104</v>
      </c>
      <c r="I118">
        <f>insumos[item]</f>
        <v>0</v>
      </c>
      <c r="J118">
        <f>SUMIF(Ingredientes[item], Tabela17[[#This Row],[item]], Ingredientes[qtd.])</f>
        <v>0</v>
      </c>
    </row>
    <row r="119" spans="8:10">
      <c r="H119">
        <f>insumos[ID]</f>
        <v>105</v>
      </c>
      <c r="I119">
        <f>insumos[item]</f>
        <v>0</v>
      </c>
      <c r="J119">
        <f>SUMIF(Ingredientes[item], Tabela17[[#This Row],[item]], Ingredientes[qtd.])</f>
        <v>0</v>
      </c>
    </row>
    <row r="120" spans="8:10">
      <c r="H120">
        <f>insumos[ID]</f>
        <v>106</v>
      </c>
      <c r="I120">
        <f>insumos[item]</f>
        <v>0</v>
      </c>
      <c r="J120">
        <f>SUMIF(Ingredientes[item], Tabela17[[#This Row],[item]], Ingredientes[qtd.])</f>
        <v>0</v>
      </c>
    </row>
    <row r="121" spans="8:10">
      <c r="H121">
        <f>insumos[ID]</f>
        <v>107</v>
      </c>
      <c r="I121">
        <f>insumos[item]</f>
        <v>0</v>
      </c>
      <c r="J121">
        <f>SUMIF(Ingredientes[item], Tabela17[[#This Row],[item]], Ingredientes[qtd.])</f>
        <v>0</v>
      </c>
    </row>
    <row r="122" spans="8:10">
      <c r="H122" t="e">
        <f>insumos[ID]</f>
        <v>#VALUE!</v>
      </c>
      <c r="I122" t="e">
        <f>insumos[item]</f>
        <v>#VALUE!</v>
      </c>
      <c r="J122">
        <f>SUMIF(Ingredientes[item], Tabela17[[#This Row],[item]], Ingredientes[qtd.])</f>
        <v>0</v>
      </c>
    </row>
    <row r="123" spans="8:10">
      <c r="H123" t="e">
        <f>insumos[ID]</f>
        <v>#VALUE!</v>
      </c>
      <c r="I123" t="e">
        <f>insumos[item]</f>
        <v>#VALUE!</v>
      </c>
      <c r="J123">
        <f>SUMIF(Ingredientes[item], Tabela17[[#This Row],[item]], Ingredientes[qtd.])</f>
        <v>0</v>
      </c>
    </row>
    <row r="124" spans="8:10">
      <c r="H124" t="e">
        <f>insumos[ID]</f>
        <v>#VALUE!</v>
      </c>
      <c r="I124" t="e">
        <f>insumos[item]</f>
        <v>#VALUE!</v>
      </c>
      <c r="J124">
        <f>SUMIF(Ingredientes[item], Tabela17[[#This Row],[item]], Ingredientes[qtd.])</f>
        <v>0</v>
      </c>
    </row>
    <row r="125" spans="8:10">
      <c r="H125" t="e">
        <f>insumos[ID]</f>
        <v>#VALUE!</v>
      </c>
      <c r="I125" t="e">
        <f>insumos[item]</f>
        <v>#VALUE!</v>
      </c>
      <c r="J125">
        <f>SUMIF(Ingredientes[item], Tabela17[[#This Row],[item]], Ingredientes[qtd.])</f>
        <v>0</v>
      </c>
    </row>
    <row r="126" spans="8:10">
      <c r="H126" t="e">
        <f>insumos[ID]</f>
        <v>#VALUE!</v>
      </c>
      <c r="I126" t="e">
        <f>insumos[item]</f>
        <v>#VALUE!</v>
      </c>
      <c r="J126">
        <f>SUMIF(Ingredientes[item], Tabela17[[#This Row],[item]], Ingredientes[qtd.])</f>
        <v>0</v>
      </c>
    </row>
    <row r="127" spans="8:10">
      <c r="H127" t="e">
        <f>insumos[ID]</f>
        <v>#VALUE!</v>
      </c>
      <c r="I127" t="e">
        <f>insumos[item]</f>
        <v>#VALUE!</v>
      </c>
      <c r="J127">
        <f>SUMIF(Ingredientes[item], Tabela17[[#This Row],[item]], Ingredientes[qtd.])</f>
        <v>0</v>
      </c>
    </row>
    <row r="128" spans="8:10">
      <c r="H128" t="e">
        <f>insumos[ID]</f>
        <v>#VALUE!</v>
      </c>
      <c r="I128" t="e">
        <f>insumos[item]</f>
        <v>#VALUE!</v>
      </c>
      <c r="J128">
        <f>SUMIF(Ingredientes[item], Tabela17[[#This Row],[item]], Ingredientes[qtd.])</f>
        <v>0</v>
      </c>
    </row>
    <row r="129" spans="8:10">
      <c r="H129" t="e">
        <f>insumos[ID]</f>
        <v>#VALUE!</v>
      </c>
      <c r="I129" t="e">
        <f>insumos[item]</f>
        <v>#VALUE!</v>
      </c>
      <c r="J129">
        <f>SUMIF(Ingredientes[item], Tabela17[[#This Row],[item]], Ingredientes[qtd.])</f>
        <v>0</v>
      </c>
    </row>
    <row r="130" spans="8:10">
      <c r="H130" t="e">
        <f>insumos[ID]</f>
        <v>#VALUE!</v>
      </c>
      <c r="I130" t="e">
        <f>insumos[item]</f>
        <v>#VALUE!</v>
      </c>
      <c r="J130">
        <f>SUMIF(Ingredientes[item], Tabela17[[#This Row],[item]], Ingredientes[qtd.])</f>
        <v>0</v>
      </c>
    </row>
    <row r="131" spans="8:10">
      <c r="H131" t="e">
        <f>insumos[ID]</f>
        <v>#VALUE!</v>
      </c>
      <c r="I131" t="e">
        <f>insumos[item]</f>
        <v>#VALUE!</v>
      </c>
      <c r="J131">
        <f>SUMIF(Ingredientes[item], Tabela17[[#This Row],[item]], Ingredientes[qtd.])</f>
        <v>0</v>
      </c>
    </row>
    <row r="132" spans="8:10">
      <c r="H132" t="e">
        <f>insumos[ID]</f>
        <v>#VALUE!</v>
      </c>
      <c r="I132" t="e">
        <f>insumos[item]</f>
        <v>#VALUE!</v>
      </c>
      <c r="J132">
        <f>SUMIF(Ingredientes[item], Tabela17[[#This Row],[item]], Ingredientes[qtd.])</f>
        <v>0</v>
      </c>
    </row>
    <row r="133" spans="8:10">
      <c r="H133" t="e">
        <f>insumos[ID]</f>
        <v>#VALUE!</v>
      </c>
      <c r="I133" t="e">
        <f>insumos[item]</f>
        <v>#VALUE!</v>
      </c>
      <c r="J133">
        <f>SUMIF(Ingredientes[item], Tabela17[[#This Row],[item]], Ingredientes[qtd.])</f>
        <v>0</v>
      </c>
    </row>
    <row r="134" spans="8:10">
      <c r="H134" t="e">
        <f>insumos[ID]</f>
        <v>#VALUE!</v>
      </c>
      <c r="I134" t="e">
        <f>insumos[item]</f>
        <v>#VALUE!</v>
      </c>
      <c r="J134">
        <f>SUMIF(Ingredientes[item], Tabela17[[#This Row],[item]], Ingredientes[qtd.])</f>
        <v>0</v>
      </c>
    </row>
    <row r="135" spans="8:10">
      <c r="H135" t="e">
        <f>insumos[ID]</f>
        <v>#VALUE!</v>
      </c>
      <c r="I135" t="e">
        <f>insumos[item]</f>
        <v>#VALUE!</v>
      </c>
      <c r="J135">
        <f>SUMIF(Ingredientes[item], Tabela17[[#This Row],[item]], Ingredientes[qtd.])</f>
        <v>0</v>
      </c>
    </row>
    <row r="136" spans="8:10">
      <c r="H136" t="e">
        <f>insumos[ID]</f>
        <v>#VALUE!</v>
      </c>
      <c r="I136" t="e">
        <f>insumos[item]</f>
        <v>#VALUE!</v>
      </c>
      <c r="J136">
        <f>SUMIF(Ingredientes[item], Tabela17[[#This Row],[item]], Ingredientes[qtd.])</f>
        <v>0</v>
      </c>
    </row>
    <row r="137" spans="8:10">
      <c r="H137" t="e">
        <f>insumos[ID]</f>
        <v>#VALUE!</v>
      </c>
      <c r="I137" t="e">
        <f>insumos[item]</f>
        <v>#VALUE!</v>
      </c>
      <c r="J137">
        <f>SUMIF(Ingredientes[item], Tabela17[[#This Row],[item]], Ingredientes[qtd.])</f>
        <v>0</v>
      </c>
    </row>
    <row r="138" spans="8:10">
      <c r="H138" t="e">
        <f>insumos[ID]</f>
        <v>#VALUE!</v>
      </c>
      <c r="I138" t="e">
        <f>insumos[item]</f>
        <v>#VALUE!</v>
      </c>
      <c r="J138">
        <f>SUMIF(Ingredientes[item], Tabela17[[#This Row],[item]], Ingredientes[qtd.])</f>
        <v>0</v>
      </c>
    </row>
    <row r="139" spans="8:10">
      <c r="H139" t="e">
        <f>insumos[ID]</f>
        <v>#VALUE!</v>
      </c>
      <c r="I139" t="e">
        <f>insumos[item]</f>
        <v>#VALUE!</v>
      </c>
      <c r="J139">
        <f>SUMIF(Ingredientes[item], Tabela17[[#This Row],[item]], Ingredientes[qtd.])</f>
        <v>0</v>
      </c>
    </row>
    <row r="140" spans="8:10">
      <c r="H140" t="e">
        <f>insumos[ID]</f>
        <v>#VALUE!</v>
      </c>
      <c r="I140" t="e">
        <f>insumos[item]</f>
        <v>#VALUE!</v>
      </c>
      <c r="J140">
        <f>SUMIF(Ingredientes[item], Tabela17[[#This Row],[item]], Ingredientes[qtd.])</f>
        <v>0</v>
      </c>
    </row>
    <row r="141" spans="8:10">
      <c r="H141" t="e">
        <f>insumos[ID]</f>
        <v>#VALUE!</v>
      </c>
      <c r="I141" t="e">
        <f>insumos[item]</f>
        <v>#VALUE!</v>
      </c>
      <c r="J141">
        <f>SUMIF(Ingredientes[item], Tabela17[[#This Row],[item]], Ingredientes[qtd.])</f>
        <v>0</v>
      </c>
    </row>
    <row r="142" spans="8:10">
      <c r="H142" t="e">
        <f>insumos[ID]</f>
        <v>#VALUE!</v>
      </c>
      <c r="I142" t="e">
        <f>insumos[item]</f>
        <v>#VALUE!</v>
      </c>
      <c r="J142">
        <f>SUMIF(Ingredientes[item], Tabela17[[#This Row],[item]], Ingredientes[qtd.])</f>
        <v>0</v>
      </c>
    </row>
    <row r="143" spans="8:10">
      <c r="H143" t="e">
        <f>insumos[ID]</f>
        <v>#VALUE!</v>
      </c>
      <c r="I143" t="e">
        <f>insumos[item]</f>
        <v>#VALUE!</v>
      </c>
      <c r="J143">
        <f>SUMIF(Ingredientes[item], Tabela17[[#This Row],[item]], Ingredientes[qtd.])</f>
        <v>0</v>
      </c>
    </row>
    <row r="144" spans="8:10">
      <c r="H144" t="e">
        <f>insumos[ID]</f>
        <v>#VALUE!</v>
      </c>
      <c r="I144" t="e">
        <f>insumos[item]</f>
        <v>#VALUE!</v>
      </c>
      <c r="J144">
        <f>SUMIF(Ingredientes[item], Tabela17[[#This Row],[item]], Ingredientes[qtd.])</f>
        <v>0</v>
      </c>
    </row>
    <row r="145" spans="8:10">
      <c r="H145" t="e">
        <f>insumos[ID]</f>
        <v>#VALUE!</v>
      </c>
      <c r="I145" t="e">
        <f>insumos[item]</f>
        <v>#VALUE!</v>
      </c>
      <c r="J145">
        <f>SUMIF(Ingredientes[item], Tabela17[[#This Row],[item]], Ingredientes[qtd.])</f>
        <v>0</v>
      </c>
    </row>
    <row r="146" spans="8:10">
      <c r="H146" t="e">
        <f>insumos[ID]</f>
        <v>#VALUE!</v>
      </c>
      <c r="I146" t="e">
        <f>insumos[item]</f>
        <v>#VALUE!</v>
      </c>
      <c r="J146">
        <f>SUMIF(Ingredientes[item], Tabela17[[#This Row],[item]], Ingredientes[qtd.])</f>
        <v>0</v>
      </c>
    </row>
    <row r="147" spans="8:10">
      <c r="H147" t="e">
        <f>insumos[ID]</f>
        <v>#VALUE!</v>
      </c>
      <c r="I147" t="e">
        <f>insumos[item]</f>
        <v>#VALUE!</v>
      </c>
      <c r="J147">
        <f>SUMIF(Ingredientes[item], Tabela17[[#This Row],[item]], Ingredientes[qtd.])</f>
        <v>0</v>
      </c>
    </row>
    <row r="148" spans="8:10">
      <c r="H148" t="e">
        <f>insumos[ID]</f>
        <v>#VALUE!</v>
      </c>
      <c r="I148" t="e">
        <f>insumos[item]</f>
        <v>#VALUE!</v>
      </c>
      <c r="J148">
        <f>SUMIF(Ingredientes[item], Tabela17[[#This Row],[item]], Ingredientes[qtd.])</f>
        <v>0</v>
      </c>
    </row>
    <row r="149" spans="8:10">
      <c r="H149" t="e">
        <f>insumos[ID]</f>
        <v>#VALUE!</v>
      </c>
      <c r="I149" t="e">
        <f>insumos[item]</f>
        <v>#VALUE!</v>
      </c>
      <c r="J149">
        <f>SUMIF(Ingredientes[item], Tabela17[[#This Row],[item]], Ingredientes[qtd.])</f>
        <v>0</v>
      </c>
    </row>
    <row r="150" spans="8:10">
      <c r="H150" t="e">
        <f>insumos[ID]</f>
        <v>#VALUE!</v>
      </c>
      <c r="I150" t="e">
        <f>insumos[item]</f>
        <v>#VALUE!</v>
      </c>
      <c r="J150">
        <f>SUMIF(Ingredientes[item], Tabela17[[#This Row],[item]], Ingredientes[qtd.])</f>
        <v>0</v>
      </c>
    </row>
    <row r="151" spans="8:10">
      <c r="H151" t="e">
        <f>insumos[ID]</f>
        <v>#VALUE!</v>
      </c>
      <c r="I151" t="e">
        <f>insumos[item]</f>
        <v>#VALUE!</v>
      </c>
      <c r="J151">
        <f>SUMIF(Ingredientes[item], Tabela17[[#This Row],[item]], Ingredientes[qtd.])</f>
        <v>0</v>
      </c>
    </row>
    <row r="152" spans="8:10">
      <c r="H152" t="e">
        <f>insumos[ID]</f>
        <v>#VALUE!</v>
      </c>
      <c r="I152" t="e">
        <f>insumos[item]</f>
        <v>#VALUE!</v>
      </c>
      <c r="J152">
        <f>SUMIF(Ingredientes[item], Tabela17[[#This Row],[item]], Ingredientes[qtd.])</f>
        <v>0</v>
      </c>
    </row>
    <row r="153" spans="8:10">
      <c r="H153" t="e">
        <f>insumos[ID]</f>
        <v>#VALUE!</v>
      </c>
      <c r="I153" t="e">
        <f>insumos[item]</f>
        <v>#VALUE!</v>
      </c>
      <c r="J153">
        <f>SUMIF(Ingredientes[item], Tabela17[[#This Row],[item]], Ingredientes[qtd.])</f>
        <v>0</v>
      </c>
    </row>
    <row r="154" spans="8:10">
      <c r="H154" t="e">
        <f>insumos[ID]</f>
        <v>#VALUE!</v>
      </c>
      <c r="I154" t="e">
        <f>insumos[item]</f>
        <v>#VALUE!</v>
      </c>
      <c r="J154">
        <f>SUMIF(Ingredientes[item], Tabela17[[#This Row],[item]], Ingredientes[qtd.])</f>
        <v>0</v>
      </c>
    </row>
    <row r="155" spans="8:10">
      <c r="H155" t="e">
        <f>insumos[ID]</f>
        <v>#VALUE!</v>
      </c>
      <c r="I155" t="e">
        <f>insumos[item]</f>
        <v>#VALUE!</v>
      </c>
      <c r="J155">
        <f>SUMIF(Ingredientes[item], Tabela17[[#This Row],[item]], Ingredientes[qtd.])</f>
        <v>0</v>
      </c>
    </row>
    <row r="156" spans="8:10">
      <c r="H156" t="e">
        <f>insumos[ID]</f>
        <v>#VALUE!</v>
      </c>
      <c r="I156" t="e">
        <f>insumos[item]</f>
        <v>#VALUE!</v>
      </c>
      <c r="J156">
        <f>SUMIF(Ingredientes[item], Tabela17[[#This Row],[item]], Ingredientes[qtd.])</f>
        <v>0</v>
      </c>
    </row>
    <row r="157" spans="8:10">
      <c r="H157" t="e">
        <f>insumos[ID]</f>
        <v>#VALUE!</v>
      </c>
      <c r="I157" t="e">
        <f>insumos[item]</f>
        <v>#VALUE!</v>
      </c>
      <c r="J157">
        <f>SUMIF(Ingredientes[item], Tabela17[[#This Row],[item]], Ingredientes[qtd.])</f>
        <v>0</v>
      </c>
    </row>
    <row r="158" spans="8:10">
      <c r="H158" t="e">
        <f>insumos[ID]</f>
        <v>#VALUE!</v>
      </c>
      <c r="I158" t="e">
        <f>insumos[item]</f>
        <v>#VALUE!</v>
      </c>
      <c r="J158">
        <f>SUMIF(Ingredientes[item], Tabela17[[#This Row],[item]], Ingredientes[qtd.])</f>
        <v>0</v>
      </c>
    </row>
    <row r="159" spans="8:10">
      <c r="H159" t="e">
        <f>insumos[ID]</f>
        <v>#VALUE!</v>
      </c>
      <c r="I159" t="e">
        <f>insumos[item]</f>
        <v>#VALUE!</v>
      </c>
      <c r="J159">
        <f>SUMIF(Ingredientes[item], Tabela17[[#This Row],[item]], Ingredientes[qtd.])</f>
        <v>0</v>
      </c>
    </row>
    <row r="160" spans="8:10">
      <c r="H160" t="e">
        <f>insumos[ID]</f>
        <v>#VALUE!</v>
      </c>
      <c r="I160" t="e">
        <f>insumos[item]</f>
        <v>#VALUE!</v>
      </c>
      <c r="J160">
        <f>SUMIF(Ingredientes[item], Tabela17[[#This Row],[item]], Ingredientes[qtd.])</f>
        <v>0</v>
      </c>
    </row>
    <row r="161" spans="8:10">
      <c r="H161" t="e">
        <f>insumos[ID]</f>
        <v>#VALUE!</v>
      </c>
      <c r="I161" t="e">
        <f>insumos[item]</f>
        <v>#VALUE!</v>
      </c>
      <c r="J161">
        <f>SUMIF(Ingredientes[item], Tabela17[[#This Row],[item]], Ingredientes[qtd.])</f>
        <v>0</v>
      </c>
    </row>
    <row r="162" spans="8:10">
      <c r="H162" t="e">
        <f>insumos[ID]</f>
        <v>#VALUE!</v>
      </c>
      <c r="I162" t="e">
        <f>insumos[item]</f>
        <v>#VALUE!</v>
      </c>
      <c r="J162">
        <f>SUMIF(Ingredientes[item], Tabela17[[#This Row],[item]], Ingredientes[qtd.])</f>
        <v>0</v>
      </c>
    </row>
    <row r="163" spans="8:10">
      <c r="H163" t="e">
        <f>insumos[ID]</f>
        <v>#VALUE!</v>
      </c>
      <c r="I163" t="e">
        <f>insumos[item]</f>
        <v>#VALUE!</v>
      </c>
      <c r="J163">
        <f>SUMIF(Ingredientes[item], Tabela17[[#This Row],[item]], Ingredientes[qtd.])</f>
        <v>0</v>
      </c>
    </row>
    <row r="164" spans="8:10">
      <c r="H164" t="e">
        <f>insumos[ID]</f>
        <v>#VALUE!</v>
      </c>
      <c r="I164" t="e">
        <f>insumos[item]</f>
        <v>#VALUE!</v>
      </c>
      <c r="J164">
        <f>SUMIF(Ingredientes[item], Tabela17[[#This Row],[item]], Ingredientes[qtd.])</f>
        <v>0</v>
      </c>
    </row>
  </sheetData>
  <pageMargins left="0.511811024" right="0.511811024" top="0.78740157499999996" bottom="0.78740157499999996" header="0.31496062000000002" footer="0.31496062000000002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F10B-1EA0-479B-9EC4-23536ABD8E70}">
  <sheetPr codeName="Planilha14"/>
  <dimension ref="B4:O125"/>
  <sheetViews>
    <sheetView zoomScale="52" workbookViewId="0">
      <selection activeCell="O3" sqref="O3"/>
    </sheetView>
  </sheetViews>
  <sheetFormatPr defaultRowHeight="15"/>
  <cols>
    <col min="2" max="11" width="15.7109375" style="1" customWidth="1"/>
    <col min="12" max="15" width="15.7109375" customWidth="1"/>
  </cols>
  <sheetData>
    <row r="4" spans="2:15">
      <c r="B4" s="1" t="s">
        <v>115</v>
      </c>
      <c r="C4" s="1" t="s">
        <v>147</v>
      </c>
      <c r="D4" s="1" t="s">
        <v>148</v>
      </c>
      <c r="E4" s="1" t="s">
        <v>150</v>
      </c>
      <c r="F4" s="1" t="s">
        <v>143</v>
      </c>
      <c r="G4" s="1" t="s">
        <v>144</v>
      </c>
      <c r="H4" s="1" t="s">
        <v>145</v>
      </c>
      <c r="I4" s="1" t="s">
        <v>146</v>
      </c>
      <c r="J4" s="1" t="s">
        <v>43</v>
      </c>
      <c r="K4" s="1" t="s">
        <v>36</v>
      </c>
      <c r="L4" s="1" t="s">
        <v>37</v>
      </c>
      <c r="M4" s="1" t="s">
        <v>136</v>
      </c>
      <c r="N4" s="1" t="s">
        <v>137</v>
      </c>
      <c r="O4" s="1" t="s">
        <v>149</v>
      </c>
    </row>
    <row r="5" spans="2:15">
      <c r="B5" s="31">
        <v>46107</v>
      </c>
      <c r="C5" s="28">
        <v>500</v>
      </c>
      <c r="D5" s="9">
        <v>153.11000000000001</v>
      </c>
      <c r="E5" s="44">
        <f>SUMIF(vendas[data], Tabela19[[#This Row],[Data]], vendas[Qtd.])</f>
        <v>0</v>
      </c>
      <c r="F5" s="37">
        <f>SUMIF(vendas[data], Tabela19[[#This Row],[Data]], vendas[Recebimento])</f>
        <v>0</v>
      </c>
      <c r="G5" s="23">
        <f>SUMIF(compras[Data], Tabela19[[#This Row],[Data]], compras[Valor])</f>
        <v>0</v>
      </c>
      <c r="H5" s="37">
        <f>SUMIF(vendas[data], Tabela19[[#This Row],[Data]], vendas[Lucro Bruto])</f>
        <v>0</v>
      </c>
      <c r="I5" s="37">
        <f>SUMIF(vendas[data], Tabela19[[#This Row],[Data]], vendas[Lucro Líquido])</f>
        <v>0</v>
      </c>
      <c r="J5" s="38">
        <f>SUM($F$5:$F5) - SUM($G$5:$G5)</f>
        <v>0</v>
      </c>
      <c r="K5" s="38">
        <f>SUM($H$5:$H5) - SUM($G$5:$G5)</f>
        <v>0</v>
      </c>
      <c r="L5" s="38">
        <f>SUM($I$5:$I5) - SUM($G$5:$G5)</f>
        <v>0</v>
      </c>
      <c r="M5" s="9">
        <f>SUM($F$5:$F5) - SUM($H$5:$H5)</f>
        <v>0</v>
      </c>
      <c r="N5" s="9">
        <f>SUM($H$5:$H5) - SUM($I$5:$I5)</f>
        <v>0</v>
      </c>
      <c r="O5" s="38">
        <f>Tabela19[Faturamento] + SUM($C$5:$C5) - SUM($D$5:$D5)</f>
        <v>346.89</v>
      </c>
    </row>
    <row r="6" spans="2:15">
      <c r="B6" s="31">
        <v>46108</v>
      </c>
      <c r="C6" s="28">
        <v>200</v>
      </c>
      <c r="D6" s="9"/>
      <c r="E6" s="44">
        <f>SUMIF(vendas[data], Tabela19[[#This Row],[Data]], vendas[Qtd.])</f>
        <v>0</v>
      </c>
      <c r="F6" s="37">
        <f>SUMIF(vendas[data], Tabela19[[#This Row],[Data]], vendas[Recebimento])</f>
        <v>0</v>
      </c>
      <c r="G6" s="23">
        <f>SUMIF(compras[Data], Tabela19[[#This Row],[Data]], compras[Valor])</f>
        <v>0</v>
      </c>
      <c r="H6" s="37">
        <f>SUMIF(vendas[data], Tabela19[[#This Row],[Data]], vendas[Lucro Bruto])</f>
        <v>0</v>
      </c>
      <c r="I6" s="37">
        <f>SUMIF(vendas[data], Tabela19[[#This Row],[Data]], vendas[Lucro Líquido])</f>
        <v>0</v>
      </c>
      <c r="J6" s="38">
        <f>SUM($F$5:$F6) - SUM($G$5:$G6)</f>
        <v>0</v>
      </c>
      <c r="K6" s="38">
        <f>SUM($H$5:$H6) - SUM($G$5:$G6)</f>
        <v>0</v>
      </c>
      <c r="L6" s="38">
        <f>SUM($I$5:$I6) - SUM($G$5:$G6)</f>
        <v>0</v>
      </c>
      <c r="M6" s="9">
        <f>SUM($F$5:$F6) - SUM($H$5:$H6)</f>
        <v>0</v>
      </c>
      <c r="N6" s="9">
        <f>SUM($H$5:$H6) - SUM($I$5:$I6)</f>
        <v>0</v>
      </c>
      <c r="O6" s="38">
        <f>Tabela19[Faturamento] + SUM($C$5:$C6) - SUM($D$5:$D6)</f>
        <v>546.89</v>
      </c>
    </row>
    <row r="7" spans="2:15">
      <c r="B7" s="31">
        <v>46109</v>
      </c>
      <c r="C7" s="28"/>
      <c r="D7" s="9">
        <v>101.47</v>
      </c>
      <c r="E7" s="44">
        <f>SUMIF(vendas[data], Tabela19[[#This Row],[Data]], vendas[Qtd.])</f>
        <v>0</v>
      </c>
      <c r="F7" s="37">
        <f>SUMIF(vendas[data], Tabela19[[#This Row],[Data]], vendas[Recebimento])</f>
        <v>0</v>
      </c>
      <c r="G7" s="23">
        <f>SUMIF(compras[Data], Tabela19[[#This Row],[Data]], compras[Valor])</f>
        <v>0</v>
      </c>
      <c r="H7" s="37">
        <f>SUMIF(vendas[data], Tabela19[[#This Row],[Data]], vendas[Lucro Bruto])</f>
        <v>0</v>
      </c>
      <c r="I7" s="37">
        <f>SUMIF(vendas[data], Tabela19[[#This Row],[Data]], vendas[Lucro Líquido])</f>
        <v>0</v>
      </c>
      <c r="J7" s="38">
        <f>SUM($F$5:$F7) - SUM($G$5:$G7)</f>
        <v>0</v>
      </c>
      <c r="K7" s="38">
        <f>SUM($H$5:$H7) - SUM($G$5:$G7)</f>
        <v>0</v>
      </c>
      <c r="L7" s="38">
        <f>SUM($I$5:$I7) - SUM($G$5:$G7)</f>
        <v>0</v>
      </c>
      <c r="M7" s="9">
        <f>SUM($F$5:$F7) - SUM($H$5:$H7)</f>
        <v>0</v>
      </c>
      <c r="N7" s="9">
        <f>SUM($H$5:$H7) - SUM($I$5:$I7)</f>
        <v>0</v>
      </c>
      <c r="O7" s="38">
        <f>Tabela19[Faturamento] + SUM($C$5:$C7) - SUM($D$5:$D7)</f>
        <v>445.41999999999996</v>
      </c>
    </row>
    <row r="8" spans="2:15">
      <c r="B8" s="31">
        <v>46110</v>
      </c>
      <c r="C8" s="28"/>
      <c r="D8" s="9">
        <v>91.5</v>
      </c>
      <c r="E8" s="44">
        <f>SUMIF(vendas[data], Tabela19[[#This Row],[Data]], vendas[Qtd.])</f>
        <v>0</v>
      </c>
      <c r="F8" s="37">
        <f>SUMIF(vendas[data], Tabela19[[#This Row],[Data]], vendas[Recebimento])</f>
        <v>0</v>
      </c>
      <c r="G8" s="23">
        <f>SUMIF(compras[Data], Tabela19[[#This Row],[Data]], compras[Valor])</f>
        <v>0</v>
      </c>
      <c r="H8" s="37">
        <f>SUMIF(vendas[data], Tabela19[[#This Row],[Data]], vendas[Lucro Bruto])</f>
        <v>0</v>
      </c>
      <c r="I8" s="37">
        <f>SUMIF(vendas[data], Tabela19[[#This Row],[Data]], vendas[Lucro Líquido])</f>
        <v>0</v>
      </c>
      <c r="J8" s="38">
        <f>SUM($F$5:$F8) - SUM($G$5:$G8)</f>
        <v>0</v>
      </c>
      <c r="K8" s="38">
        <f>SUM($H$5:$H8) - SUM($G$5:$G8)</f>
        <v>0</v>
      </c>
      <c r="L8" s="38">
        <f>SUM($I$5:$I8) - SUM($G$5:$G8)</f>
        <v>0</v>
      </c>
      <c r="M8" s="9">
        <f>SUM($F$5:$F8) - SUM($H$5:$H8)</f>
        <v>0</v>
      </c>
      <c r="N8" s="9">
        <f>SUM($H$5:$H8) - SUM($I$5:$I8)</f>
        <v>0</v>
      </c>
      <c r="O8" s="38">
        <f>Tabela19[Faturamento] + SUM($C$5:$C8) - SUM($D$5:$D8)</f>
        <v>353.91999999999996</v>
      </c>
    </row>
    <row r="9" spans="2:15">
      <c r="B9" s="31">
        <v>46111</v>
      </c>
      <c r="C9" s="28"/>
      <c r="D9" s="9">
        <v>80</v>
      </c>
      <c r="E9" s="44">
        <f>SUMIF(vendas[data], Tabela19[[#This Row],[Data]], vendas[Qtd.])</f>
        <v>0</v>
      </c>
      <c r="F9" s="37">
        <f>SUMIF(vendas[data], Tabela19[[#This Row],[Data]], vendas[Recebimento])</f>
        <v>0</v>
      </c>
      <c r="G9" s="23">
        <f>SUMIF(compras[Data], Tabela19[[#This Row],[Data]], compras[Valor])</f>
        <v>0</v>
      </c>
      <c r="H9" s="37">
        <f>SUMIF(vendas[data], Tabela19[[#This Row],[Data]], vendas[Lucro Bruto])</f>
        <v>0</v>
      </c>
      <c r="I9" s="37">
        <f>SUMIF(vendas[data], Tabela19[[#This Row],[Data]], vendas[Lucro Líquido])</f>
        <v>0</v>
      </c>
      <c r="J9" s="38">
        <f>SUM($F$5:$F9) - SUM($G$5:$G9)</f>
        <v>0</v>
      </c>
      <c r="K9" s="38">
        <f>SUM($H$5:$H9) - SUM($G$5:$G9)</f>
        <v>0</v>
      </c>
      <c r="L9" s="38">
        <f>SUM($I$5:$I9) - SUM($G$5:$G9)</f>
        <v>0</v>
      </c>
      <c r="M9" s="9">
        <f>SUM($F$5:$F9) - SUM($H$5:$H9)</f>
        <v>0</v>
      </c>
      <c r="N9" s="9">
        <f>SUM($H$5:$H9) - SUM($I$5:$I9)</f>
        <v>0</v>
      </c>
      <c r="O9" s="38">
        <f>Tabela19[Faturamento] + SUM($C$5:$C9) - SUM($D$5:$D9)</f>
        <v>273.91999999999996</v>
      </c>
    </row>
    <row r="10" spans="2:15">
      <c r="B10" s="31">
        <v>46112</v>
      </c>
      <c r="C10" s="28"/>
      <c r="D10" s="9"/>
      <c r="E10" s="44">
        <f>SUMIF(vendas[data], Tabela19[[#This Row],[Data]], vendas[Qtd.])</f>
        <v>0</v>
      </c>
      <c r="F10" s="37">
        <f>SUMIF(vendas[data], Tabela19[[#This Row],[Data]], vendas[Recebimento])</f>
        <v>0</v>
      </c>
      <c r="G10" s="23">
        <f>SUMIF(compras[Data], Tabela19[[#This Row],[Data]], compras[Valor])</f>
        <v>0</v>
      </c>
      <c r="H10" s="37">
        <f>SUMIF(vendas[data], Tabela19[[#This Row],[Data]], vendas[Lucro Bruto])</f>
        <v>0</v>
      </c>
      <c r="I10" s="37">
        <f>SUMIF(vendas[data], Tabela19[[#This Row],[Data]], vendas[Lucro Líquido])</f>
        <v>0</v>
      </c>
      <c r="J10" s="38">
        <f>SUM($F$5:$F10) - SUM($G$5:$G10)</f>
        <v>0</v>
      </c>
      <c r="K10" s="38">
        <f>SUM($H$5:$H10) - SUM($G$5:$G10)</f>
        <v>0</v>
      </c>
      <c r="L10" s="38">
        <f>SUM($I$5:$I10) - SUM($G$5:$G10)</f>
        <v>0</v>
      </c>
      <c r="M10" s="9">
        <f>SUM($F$5:$F10) - SUM($H$5:$H10)</f>
        <v>0</v>
      </c>
      <c r="N10" s="9">
        <f>SUM($H$5:$H10) - SUM($I$5:$I10)</f>
        <v>0</v>
      </c>
      <c r="O10" s="38">
        <f>Tabela19[Faturamento] + SUM($C$5:$C10) - SUM($D$5:$D10)</f>
        <v>273.91999999999996</v>
      </c>
    </row>
    <row r="11" spans="2:15">
      <c r="B11" s="31">
        <v>46113</v>
      </c>
      <c r="C11" s="28"/>
      <c r="D11" s="9">
        <v>389.46</v>
      </c>
      <c r="E11" s="44">
        <f>SUMIF(vendas[data], Tabela19[[#This Row],[Data]], vendas[Qtd.])</f>
        <v>0</v>
      </c>
      <c r="F11" s="37">
        <f>SUMIF(vendas[data], Tabela19[[#This Row],[Data]], vendas[Recebimento])</f>
        <v>0</v>
      </c>
      <c r="G11" s="23">
        <f>SUMIF(compras[Data], Tabela19[[#This Row],[Data]], compras[Valor])</f>
        <v>0</v>
      </c>
      <c r="H11" s="37">
        <f>SUMIF(vendas[data], Tabela19[[#This Row],[Data]], vendas[Lucro Bruto])</f>
        <v>0</v>
      </c>
      <c r="I11" s="37">
        <f>SUMIF(vendas[data], Tabela19[[#This Row],[Data]], vendas[Lucro Líquido])</f>
        <v>0</v>
      </c>
      <c r="J11" s="38">
        <f>SUM($F$5:$F11) - SUM($G$5:$G11)</f>
        <v>0</v>
      </c>
      <c r="K11" s="38">
        <f>SUM($H$5:$H11) - SUM($G$5:$G11)</f>
        <v>0</v>
      </c>
      <c r="L11" s="38">
        <f>SUM($I$5:$I11) - SUM($G$5:$G11)</f>
        <v>0</v>
      </c>
      <c r="M11" s="9">
        <f>SUM($F$5:$F11) - SUM($H$5:$H11)</f>
        <v>0</v>
      </c>
      <c r="N11" s="9">
        <f>SUM($H$5:$H11) - SUM($I$5:$I11)</f>
        <v>0</v>
      </c>
      <c r="O11" s="38">
        <f>Tabela19[Faturamento] + SUM($C$5:$C11) - SUM($D$5:$D11)</f>
        <v>-115.53999999999996</v>
      </c>
    </row>
    <row r="12" spans="2:15">
      <c r="B12" s="31">
        <v>46114</v>
      </c>
      <c r="C12" s="28"/>
      <c r="D12" s="9"/>
      <c r="E12" s="44">
        <f>SUMIF(vendas[data], Tabela19[[#This Row],[Data]], vendas[Qtd.])</f>
        <v>0</v>
      </c>
      <c r="F12" s="37">
        <f>SUMIF(vendas[data], Tabela19[[#This Row],[Data]], vendas[Recebimento])</f>
        <v>0</v>
      </c>
      <c r="G12" s="23">
        <f>SUMIF(compras[Data], Tabela19[[#This Row],[Data]], compras[Valor])</f>
        <v>0</v>
      </c>
      <c r="H12" s="37">
        <f>SUMIF(vendas[data], Tabela19[[#This Row],[Data]], vendas[Lucro Bruto])</f>
        <v>0</v>
      </c>
      <c r="I12" s="37">
        <f>SUMIF(vendas[data], Tabela19[[#This Row],[Data]], vendas[Lucro Líquido])</f>
        <v>0</v>
      </c>
      <c r="J12" s="38">
        <f>SUM($F$5:$F12) - SUM($G$5:$G12)</f>
        <v>0</v>
      </c>
      <c r="K12" s="38">
        <f>SUM($H$5:$H12) - SUM($G$5:$G12)</f>
        <v>0</v>
      </c>
      <c r="L12" s="38">
        <f>SUM($I$5:$I12) - SUM($G$5:$G12)</f>
        <v>0</v>
      </c>
      <c r="M12" s="9">
        <f>SUM($F$5:$F12) - SUM($H$5:$H12)</f>
        <v>0</v>
      </c>
      <c r="N12" s="9">
        <f>SUM($H$5:$H12) - SUM($I$5:$I12)</f>
        <v>0</v>
      </c>
      <c r="O12" s="38">
        <f>Tabela19[Faturamento] + SUM($C$5:$C12) - SUM($D$5:$D12)</f>
        <v>-115.53999999999996</v>
      </c>
    </row>
    <row r="13" spans="2:15">
      <c r="B13" s="31">
        <v>46115</v>
      </c>
      <c r="C13" s="28"/>
      <c r="D13" s="9">
        <v>389.35</v>
      </c>
      <c r="E13" s="44">
        <f>SUMIF(vendas[data], Tabela19[[#This Row],[Data]], vendas[Qtd.])</f>
        <v>0</v>
      </c>
      <c r="F13" s="37">
        <f>SUMIF(vendas[data], Tabela19[[#This Row],[Data]], vendas[Recebimento])</f>
        <v>0</v>
      </c>
      <c r="G13" s="23">
        <f>SUMIF(compras[Data], Tabela19[[#This Row],[Data]], compras[Valor])</f>
        <v>0</v>
      </c>
      <c r="H13" s="37">
        <f>SUMIF(vendas[data], Tabela19[[#This Row],[Data]], vendas[Lucro Bruto])</f>
        <v>0</v>
      </c>
      <c r="I13" s="37">
        <f>SUMIF(vendas[data], Tabela19[[#This Row],[Data]], vendas[Lucro Líquido])</f>
        <v>0</v>
      </c>
      <c r="J13" s="38">
        <f>SUM($F$5:$F13) - SUM($G$5:$G13)</f>
        <v>0</v>
      </c>
      <c r="K13" s="38">
        <f>SUM($H$5:$H13) - SUM($G$5:$G13)</f>
        <v>0</v>
      </c>
      <c r="L13" s="38">
        <f>SUM($I$5:$I13) - SUM($G$5:$G13)</f>
        <v>0</v>
      </c>
      <c r="M13" s="9">
        <f>SUM($F$5:$F13) - SUM($H$5:$H13)</f>
        <v>0</v>
      </c>
      <c r="N13" s="9">
        <f>SUM($H$5:$H13) - SUM($I$5:$I13)</f>
        <v>0</v>
      </c>
      <c r="O13" s="38">
        <f>Tabela19[Faturamento] + SUM($C$5:$C13) - SUM($D$5:$D13)</f>
        <v>-504.88999999999987</v>
      </c>
    </row>
    <row r="14" spans="2:15">
      <c r="B14" s="31">
        <v>46116</v>
      </c>
      <c r="C14" s="28"/>
      <c r="D14" s="9"/>
      <c r="E14" s="44">
        <f>SUMIF(vendas[data], Tabela19[[#This Row],[Data]], vendas[Qtd.])</f>
        <v>0</v>
      </c>
      <c r="F14" s="37">
        <f>SUMIF(vendas[data], Tabela19[[#This Row],[Data]], vendas[Recebimento])</f>
        <v>0</v>
      </c>
      <c r="G14" s="23">
        <f>SUMIF(compras[Data], Tabela19[[#This Row],[Data]], compras[Valor])</f>
        <v>0</v>
      </c>
      <c r="H14" s="37">
        <f>SUMIF(vendas[data], Tabela19[[#This Row],[Data]], vendas[Lucro Bruto])</f>
        <v>0</v>
      </c>
      <c r="I14" s="37">
        <f>SUMIF(vendas[data], Tabela19[[#This Row],[Data]], vendas[Lucro Líquido])</f>
        <v>0</v>
      </c>
      <c r="J14" s="38">
        <f>SUM($F$5:$F14) - SUM($G$5:$G14)</f>
        <v>0</v>
      </c>
      <c r="K14" s="38">
        <f>SUM($H$5:$H14) - SUM($G$5:$G14)</f>
        <v>0</v>
      </c>
      <c r="L14" s="38">
        <f>SUM($I$5:$I14) - SUM($G$5:$G14)</f>
        <v>0</v>
      </c>
      <c r="M14" s="9">
        <f>SUM($F$5:$F14) - SUM($H$5:$H14)</f>
        <v>0</v>
      </c>
      <c r="N14" s="9">
        <f>SUM($H$5:$H14) - SUM($I$5:$I14)</f>
        <v>0</v>
      </c>
      <c r="O14" s="38">
        <f>Tabela19[Faturamento] + SUM($C$5:$C14) - SUM($D$5:$D14)</f>
        <v>-504.88999999999987</v>
      </c>
    </row>
    <row r="15" spans="2:15">
      <c r="B15" s="31">
        <v>46117</v>
      </c>
      <c r="C15" s="28"/>
      <c r="D15" s="9"/>
      <c r="E15" s="44">
        <f>SUMIF(vendas[data], Tabela19[[#This Row],[Data]], vendas[Qtd.])</f>
        <v>0</v>
      </c>
      <c r="F15" s="37">
        <f>SUMIF(vendas[data], Tabela19[[#This Row],[Data]], vendas[Recebimento])</f>
        <v>0</v>
      </c>
      <c r="G15" s="23">
        <f>SUMIF(compras[Data], Tabela19[[#This Row],[Data]], compras[Valor])</f>
        <v>0</v>
      </c>
      <c r="H15" s="37">
        <f>SUMIF(vendas[data], Tabela19[[#This Row],[Data]], vendas[Lucro Bruto])</f>
        <v>0</v>
      </c>
      <c r="I15" s="37">
        <f>SUMIF(vendas[data], Tabela19[[#This Row],[Data]], vendas[Lucro Líquido])</f>
        <v>0</v>
      </c>
      <c r="J15" s="38">
        <f>SUM($F$5:$F15) - SUM($G$5:$G15)</f>
        <v>0</v>
      </c>
      <c r="K15" s="38">
        <f>SUM($H$5:$H15) - SUM($G$5:$G15)</f>
        <v>0</v>
      </c>
      <c r="L15" s="38">
        <f>SUM($I$5:$I15) - SUM($G$5:$G15)</f>
        <v>0</v>
      </c>
      <c r="M15" s="9">
        <f>SUM($F$5:$F15) - SUM($H$5:$H15)</f>
        <v>0</v>
      </c>
      <c r="N15" s="9">
        <f>SUM($H$5:$H15) - SUM($I$5:$I15)</f>
        <v>0</v>
      </c>
      <c r="O15" s="38">
        <f>Tabela19[Faturamento] + SUM($C$5:$C15) - SUM($D$5:$D15)</f>
        <v>-504.88999999999987</v>
      </c>
    </row>
    <row r="16" spans="2:15">
      <c r="B16" s="31">
        <v>46118</v>
      </c>
      <c r="C16" s="28">
        <v>100</v>
      </c>
      <c r="D16" s="9">
        <v>142.6</v>
      </c>
      <c r="E16" s="44">
        <f>SUMIF(vendas[data], Tabela19[[#This Row],[Data]], vendas[Qtd.])</f>
        <v>0</v>
      </c>
      <c r="F16" s="37">
        <f>SUMIF(vendas[data], Tabela19[[#This Row],[Data]], vendas[Recebimento])</f>
        <v>0</v>
      </c>
      <c r="G16" s="23">
        <f>SUMIF(compras[Data], Tabela19[[#This Row],[Data]], compras[Valor])</f>
        <v>0</v>
      </c>
      <c r="H16" s="37">
        <f>SUMIF(vendas[data], Tabela19[[#This Row],[Data]], vendas[Lucro Bruto])</f>
        <v>0</v>
      </c>
      <c r="I16" s="37">
        <f>SUMIF(vendas[data], Tabela19[[#This Row],[Data]], vendas[Lucro Líquido])</f>
        <v>0</v>
      </c>
      <c r="J16" s="38">
        <f>SUM($F$5:$F16) - SUM($G$5:$G16)</f>
        <v>0</v>
      </c>
      <c r="K16" s="38">
        <f>SUM($H$5:$H16) - SUM($G$5:$G16)</f>
        <v>0</v>
      </c>
      <c r="L16" s="38">
        <f>SUM($I$5:$I16) - SUM($G$5:$G16)</f>
        <v>0</v>
      </c>
      <c r="M16" s="9">
        <f>SUM($F$5:$F16) - SUM($H$5:$H16)</f>
        <v>0</v>
      </c>
      <c r="N16" s="9">
        <f>SUM($H$5:$H16) - SUM($I$5:$I16)</f>
        <v>0</v>
      </c>
      <c r="O16" s="38">
        <f>Tabela19[Faturamento] + SUM($C$5:$C16) - SUM($D$5:$D16)</f>
        <v>-547.48999999999978</v>
      </c>
    </row>
    <row r="17" spans="2:15">
      <c r="B17" s="31">
        <v>46119</v>
      </c>
      <c r="C17" s="28">
        <v>100</v>
      </c>
      <c r="D17" s="9">
        <v>225.33</v>
      </c>
      <c r="E17" s="44">
        <f>SUMIF(vendas[data], Tabela19[[#This Row],[Data]], vendas[Qtd.])</f>
        <v>0</v>
      </c>
      <c r="F17" s="37">
        <f>SUMIF(vendas[data], Tabela19[[#This Row],[Data]], vendas[Recebimento])</f>
        <v>0</v>
      </c>
      <c r="G17" s="23">
        <f>SUMIF(compras[Data], Tabela19[[#This Row],[Data]], compras[Valor])</f>
        <v>0</v>
      </c>
      <c r="H17" s="37">
        <f>SUMIF(vendas[data], Tabela19[[#This Row],[Data]], vendas[Lucro Bruto])</f>
        <v>0</v>
      </c>
      <c r="I17" s="37">
        <f>SUMIF(vendas[data], Tabela19[[#This Row],[Data]], vendas[Lucro Líquido])</f>
        <v>0</v>
      </c>
      <c r="J17" s="38">
        <f>SUM($F$5:$F17) - SUM($G$5:$G17)</f>
        <v>0</v>
      </c>
      <c r="K17" s="38">
        <f>SUM($H$5:$H17) - SUM($G$5:$G17)</f>
        <v>0</v>
      </c>
      <c r="L17" s="38">
        <f>SUM($I$5:$I17) - SUM($G$5:$G17)</f>
        <v>0</v>
      </c>
      <c r="M17" s="9">
        <f>SUM($F$5:$F17) - SUM($H$5:$H17)</f>
        <v>0</v>
      </c>
      <c r="N17" s="9">
        <f>SUM($H$5:$H17) - SUM($I$5:$I17)</f>
        <v>0</v>
      </c>
      <c r="O17" s="38">
        <f>Tabela19[Faturamento] + SUM($C$5:$C17) - SUM($D$5:$D17)</f>
        <v>-672.81999999999971</v>
      </c>
    </row>
    <row r="18" spans="2:15">
      <c r="B18" s="31">
        <v>46120</v>
      </c>
      <c r="C18" s="28"/>
      <c r="D18" s="9">
        <v>8.49</v>
      </c>
      <c r="E18" s="44">
        <f>SUMIF(vendas[data], Tabela19[[#This Row],[Data]], vendas[Qtd.])</f>
        <v>0</v>
      </c>
      <c r="F18" s="37">
        <f>SUMIF(vendas[data], Tabela19[[#This Row],[Data]], vendas[Recebimento])</f>
        <v>0</v>
      </c>
      <c r="G18" s="23">
        <f>SUMIF(compras[Data], Tabela19[[#This Row],[Data]], compras[Valor])</f>
        <v>0</v>
      </c>
      <c r="H18" s="37">
        <f>SUMIF(vendas[data], Tabela19[[#This Row],[Data]], vendas[Lucro Bruto])</f>
        <v>0</v>
      </c>
      <c r="I18" s="37">
        <f>SUMIF(vendas[data], Tabela19[[#This Row],[Data]], vendas[Lucro Líquido])</f>
        <v>0</v>
      </c>
      <c r="J18" s="38">
        <f>SUM($F$5:$F18) - SUM($G$5:$G18)</f>
        <v>0</v>
      </c>
      <c r="K18" s="38">
        <f>SUM($H$5:$H18) - SUM($G$5:$G18)</f>
        <v>0</v>
      </c>
      <c r="L18" s="38">
        <f>SUM($I$5:$I18) - SUM($G$5:$G18)</f>
        <v>0</v>
      </c>
      <c r="M18" s="9">
        <f>SUM($F$5:$F18) - SUM($H$5:$H18)</f>
        <v>0</v>
      </c>
      <c r="N18" s="9">
        <f>SUM($H$5:$H18) - SUM($I$5:$I18)</f>
        <v>0</v>
      </c>
      <c r="O18" s="38">
        <f>Tabela19[Faturamento] + SUM($C$5:$C18) - SUM($D$5:$D18)</f>
        <v>-681.30999999999972</v>
      </c>
    </row>
    <row r="19" spans="2:15">
      <c r="B19" s="31">
        <v>46121</v>
      </c>
      <c r="C19" s="28"/>
      <c r="D19" s="9"/>
      <c r="E19" s="44">
        <f>SUMIF(vendas[data], Tabela19[[#This Row],[Data]], vendas[Qtd.])</f>
        <v>0</v>
      </c>
      <c r="F19" s="37">
        <f>SUMIF(vendas[data], Tabela19[[#This Row],[Data]], vendas[Recebimento])</f>
        <v>0</v>
      </c>
      <c r="G19" s="23">
        <f>SUMIF(compras[Data], Tabela19[[#This Row],[Data]], compras[Valor])</f>
        <v>0</v>
      </c>
      <c r="H19" s="37">
        <f>SUMIF(vendas[data], Tabela19[[#This Row],[Data]], vendas[Lucro Bruto])</f>
        <v>0</v>
      </c>
      <c r="I19" s="37">
        <f>SUMIF(vendas[data], Tabela19[[#This Row],[Data]], vendas[Lucro Líquido])</f>
        <v>0</v>
      </c>
      <c r="J19" s="38">
        <f>SUM($F$5:$F19) - SUM($G$5:$G19)</f>
        <v>0</v>
      </c>
      <c r="K19" s="38">
        <f>SUM($H$5:$H19) - SUM($G$5:$G19)</f>
        <v>0</v>
      </c>
      <c r="L19" s="38">
        <f>SUM($I$5:$I19) - SUM($G$5:$G19)</f>
        <v>0</v>
      </c>
      <c r="M19" s="9">
        <f>SUM($F$5:$F19) - SUM($H$5:$H19)</f>
        <v>0</v>
      </c>
      <c r="N19" s="9">
        <f>SUM($H$5:$H19) - SUM($I$5:$I19)</f>
        <v>0</v>
      </c>
      <c r="O19" s="38">
        <f>Tabela19[Faturamento] + SUM($C$5:$C19) - SUM($D$5:$D19)</f>
        <v>-681.30999999999972</v>
      </c>
    </row>
    <row r="20" spans="2:15">
      <c r="B20" s="31">
        <v>46122</v>
      </c>
      <c r="C20" s="28"/>
      <c r="D20" s="9"/>
      <c r="E20" s="44">
        <f>SUMIF(vendas[data], Tabela19[[#This Row],[Data]], vendas[Qtd.])</f>
        <v>0</v>
      </c>
      <c r="F20" s="37">
        <f>SUMIF(vendas[data], Tabela19[[#This Row],[Data]], vendas[Recebimento])</f>
        <v>0</v>
      </c>
      <c r="G20" s="23">
        <f>SUMIF(compras[Data], Tabela19[[#This Row],[Data]], compras[Valor])</f>
        <v>0</v>
      </c>
      <c r="H20" s="37">
        <f>SUMIF(vendas[data], Tabela19[[#This Row],[Data]], vendas[Lucro Bruto])</f>
        <v>0</v>
      </c>
      <c r="I20" s="37">
        <f>SUMIF(vendas[data], Tabela19[[#This Row],[Data]], vendas[Lucro Líquido])</f>
        <v>0</v>
      </c>
      <c r="J20" s="38">
        <f>SUM($F$5:$F20) - SUM($G$5:$G20)</f>
        <v>0</v>
      </c>
      <c r="K20" s="38">
        <f>SUM($H$5:$H20) - SUM($G$5:$G20)</f>
        <v>0</v>
      </c>
      <c r="L20" s="38">
        <f>SUM($I$5:$I20) - SUM($G$5:$G20)</f>
        <v>0</v>
      </c>
      <c r="M20" s="9">
        <f>SUM($F$5:$F20) - SUM($H$5:$H20)</f>
        <v>0</v>
      </c>
      <c r="N20" s="9">
        <f>SUM($H$5:$H20) - SUM($I$5:$I20)</f>
        <v>0</v>
      </c>
      <c r="O20" s="38">
        <f>Tabela19[Faturamento] + SUM($C$5:$C20) - SUM($D$5:$D20)</f>
        <v>-681.30999999999972</v>
      </c>
    </row>
    <row r="21" spans="2:15">
      <c r="B21" s="31">
        <v>46123</v>
      </c>
      <c r="C21" s="28"/>
      <c r="D21" s="9"/>
      <c r="E21" s="44">
        <f>SUMIF(vendas[data], Tabela19[[#This Row],[Data]], vendas[Qtd.])</f>
        <v>0</v>
      </c>
      <c r="F21" s="37">
        <f>SUMIF(vendas[data], Tabela19[[#This Row],[Data]], vendas[Recebimento])</f>
        <v>0</v>
      </c>
      <c r="G21" s="23">
        <f>SUMIF(compras[Data], Tabela19[[#This Row],[Data]], compras[Valor])</f>
        <v>0</v>
      </c>
      <c r="H21" s="37">
        <f>SUMIF(vendas[data], Tabela19[[#This Row],[Data]], vendas[Lucro Bruto])</f>
        <v>0</v>
      </c>
      <c r="I21" s="37">
        <f>SUMIF(vendas[data], Tabela19[[#This Row],[Data]], vendas[Lucro Líquido])</f>
        <v>0</v>
      </c>
      <c r="J21" s="38">
        <f>SUM($F$5:$F21) - SUM($G$5:$G21)</f>
        <v>0</v>
      </c>
      <c r="K21" s="38">
        <f>SUM($H$5:$H21) - SUM($G$5:$G21)</f>
        <v>0</v>
      </c>
      <c r="L21" s="38">
        <f>SUM($I$5:$I21) - SUM($G$5:$G21)</f>
        <v>0</v>
      </c>
      <c r="M21" s="9">
        <f>SUM($F$5:$F21) - SUM($H$5:$H21)</f>
        <v>0</v>
      </c>
      <c r="N21" s="9">
        <f>SUM($H$5:$H21) - SUM($I$5:$I21)</f>
        <v>0</v>
      </c>
      <c r="O21" s="38">
        <f>Tabela19[Faturamento] + SUM($C$5:$C21) - SUM($D$5:$D21)</f>
        <v>-681.30999999999972</v>
      </c>
    </row>
    <row r="22" spans="2:15">
      <c r="B22" s="31">
        <v>46124</v>
      </c>
      <c r="C22" s="28"/>
      <c r="D22" s="9"/>
      <c r="E22" s="44">
        <f>SUMIF(vendas[data], Tabela19[[#This Row],[Data]], vendas[Qtd.])</f>
        <v>0</v>
      </c>
      <c r="F22" s="37">
        <f>SUMIF(vendas[data], Tabela19[[#This Row],[Data]], vendas[Recebimento])</f>
        <v>0</v>
      </c>
      <c r="G22" s="23">
        <f>SUMIF(compras[Data], Tabela19[[#This Row],[Data]], compras[Valor])</f>
        <v>0</v>
      </c>
      <c r="H22" s="37">
        <f>SUMIF(vendas[data], Tabela19[[#This Row],[Data]], vendas[Lucro Bruto])</f>
        <v>0</v>
      </c>
      <c r="I22" s="37">
        <f>SUMIF(vendas[data], Tabela19[[#This Row],[Data]], vendas[Lucro Líquido])</f>
        <v>0</v>
      </c>
      <c r="J22" s="38">
        <f>SUM($F$5:$F22) - SUM($G$5:$G22)</f>
        <v>0</v>
      </c>
      <c r="K22" s="38">
        <f>SUM($H$5:$H22) - SUM($G$5:$G22)</f>
        <v>0</v>
      </c>
      <c r="L22" s="38">
        <f>SUM($I$5:$I22) - SUM($G$5:$G22)</f>
        <v>0</v>
      </c>
      <c r="M22" s="9">
        <f>SUM($F$5:$F22) - SUM($H$5:$H22)</f>
        <v>0</v>
      </c>
      <c r="N22" s="9">
        <f>SUM($H$5:$H22) - SUM($I$5:$I22)</f>
        <v>0</v>
      </c>
      <c r="O22" s="38">
        <f>Tabela19[Faturamento] + SUM($C$5:$C22) - SUM($D$5:$D22)</f>
        <v>-681.30999999999972</v>
      </c>
    </row>
    <row r="23" spans="2:15">
      <c r="B23" s="31">
        <v>46125</v>
      </c>
      <c r="C23" s="28"/>
      <c r="D23" s="9"/>
      <c r="E23" s="44">
        <f>SUMIF(vendas[data], Tabela19[[#This Row],[Data]], vendas[Qtd.])</f>
        <v>0</v>
      </c>
      <c r="F23" s="37">
        <f>SUMIF(vendas[data], Tabela19[[#This Row],[Data]], vendas[Recebimento])</f>
        <v>0</v>
      </c>
      <c r="G23" s="23">
        <f>SUMIF(compras[Data], Tabela19[[#This Row],[Data]], compras[Valor])</f>
        <v>0</v>
      </c>
      <c r="H23" s="37">
        <f>SUMIF(vendas[data], Tabela19[[#This Row],[Data]], vendas[Lucro Bruto])</f>
        <v>0</v>
      </c>
      <c r="I23" s="37">
        <f>SUMIF(vendas[data], Tabela19[[#This Row],[Data]], vendas[Lucro Líquido])</f>
        <v>0</v>
      </c>
      <c r="J23" s="38">
        <f>SUM($F$5:$F23) - SUM($G$5:$G23)</f>
        <v>0</v>
      </c>
      <c r="K23" s="38">
        <f>SUM($H$5:$H23) - SUM($G$5:$G23)</f>
        <v>0</v>
      </c>
      <c r="L23" s="38">
        <f>SUM($I$5:$I23) - SUM($G$5:$G23)</f>
        <v>0</v>
      </c>
      <c r="M23" s="9">
        <f>SUM($F$5:$F23) - SUM($H$5:$H23)</f>
        <v>0</v>
      </c>
      <c r="N23" s="9">
        <f>SUM($H$5:$H23) - SUM($I$5:$I23)</f>
        <v>0</v>
      </c>
      <c r="O23" s="38">
        <f>Tabela19[Faturamento] + SUM($C$5:$C23) - SUM($D$5:$D23)</f>
        <v>-681.30999999999972</v>
      </c>
    </row>
    <row r="24" spans="2:15">
      <c r="B24" s="31">
        <v>46126</v>
      </c>
      <c r="C24" s="28"/>
      <c r="D24" s="9"/>
      <c r="E24" s="44">
        <f>SUMIF(vendas[data], Tabela19[[#This Row],[Data]], vendas[Qtd.])</f>
        <v>0</v>
      </c>
      <c r="F24" s="37">
        <f>SUMIF(vendas[data], Tabela19[[#This Row],[Data]], vendas[Recebimento])</f>
        <v>0</v>
      </c>
      <c r="G24" s="23">
        <f>SUMIF(compras[Data], Tabela19[[#This Row],[Data]], compras[Valor])</f>
        <v>0</v>
      </c>
      <c r="H24" s="37">
        <f>SUMIF(vendas[data], Tabela19[[#This Row],[Data]], vendas[Lucro Bruto])</f>
        <v>0</v>
      </c>
      <c r="I24" s="37">
        <f>SUMIF(vendas[data], Tabela19[[#This Row],[Data]], vendas[Lucro Líquido])</f>
        <v>0</v>
      </c>
      <c r="J24" s="38">
        <f>SUM($F$5:$F24) - SUM($G$5:$G24)</f>
        <v>0</v>
      </c>
      <c r="K24" s="38">
        <f>SUM($H$5:$H24) - SUM($G$5:$G24)</f>
        <v>0</v>
      </c>
      <c r="L24" s="38">
        <f>SUM($I$5:$I24) - SUM($G$5:$G24)</f>
        <v>0</v>
      </c>
      <c r="M24" s="9">
        <f>SUM($F$5:$F24) - SUM($H$5:$H24)</f>
        <v>0</v>
      </c>
      <c r="N24" s="9">
        <f>SUM($H$5:$H24) - SUM($I$5:$I24)</f>
        <v>0</v>
      </c>
      <c r="O24" s="38">
        <f>Tabela19[Faturamento] + SUM($C$5:$C24) - SUM($D$5:$D24)</f>
        <v>-681.30999999999972</v>
      </c>
    </row>
    <row r="25" spans="2:15">
      <c r="B25" s="31">
        <v>46127</v>
      </c>
      <c r="C25" s="28"/>
      <c r="D25" s="9"/>
      <c r="E25" s="44">
        <f>SUMIF(vendas[data], Tabela19[[#This Row],[Data]], vendas[Qtd.])</f>
        <v>0</v>
      </c>
      <c r="F25" s="37">
        <f>SUMIF(vendas[data], Tabela19[[#This Row],[Data]], vendas[Recebimento])</f>
        <v>0</v>
      </c>
      <c r="G25" s="23">
        <f>SUMIF(compras[Data], Tabela19[[#This Row],[Data]], compras[Valor])</f>
        <v>0</v>
      </c>
      <c r="H25" s="37">
        <f>SUMIF(vendas[data], Tabela19[[#This Row],[Data]], vendas[Lucro Bruto])</f>
        <v>0</v>
      </c>
      <c r="I25" s="37">
        <f>SUMIF(vendas[data], Tabela19[[#This Row],[Data]], vendas[Lucro Líquido])</f>
        <v>0</v>
      </c>
      <c r="J25" s="38">
        <f>SUM($F$5:$F25) - SUM($G$5:$G25)</f>
        <v>0</v>
      </c>
      <c r="K25" s="38">
        <f>SUM($H$5:$H25) - SUM($G$5:$G25)</f>
        <v>0</v>
      </c>
      <c r="L25" s="38">
        <f>SUM($I$5:$I25) - SUM($G$5:$G25)</f>
        <v>0</v>
      </c>
      <c r="M25" s="9">
        <f>SUM($F$5:$F25) - SUM($H$5:$H25)</f>
        <v>0</v>
      </c>
      <c r="N25" s="9">
        <f>SUM($H$5:$H25) - SUM($I$5:$I25)</f>
        <v>0</v>
      </c>
      <c r="O25" s="38">
        <f>Tabela19[Faturamento] + SUM($C$5:$C25) - SUM($D$5:$D25)</f>
        <v>-681.30999999999972</v>
      </c>
    </row>
    <row r="26" spans="2:15">
      <c r="B26" s="31">
        <v>46128</v>
      </c>
      <c r="C26" s="28"/>
      <c r="D26" s="9"/>
      <c r="E26" s="44">
        <f>SUMIF(vendas[data], Tabela19[[#This Row],[Data]], vendas[Qtd.])</f>
        <v>0</v>
      </c>
      <c r="F26" s="37">
        <f>SUMIF(vendas[data], Tabela19[[#This Row],[Data]], vendas[Recebimento])</f>
        <v>0</v>
      </c>
      <c r="G26" s="23">
        <f>SUMIF(compras[Data], Tabela19[[#This Row],[Data]], compras[Valor])</f>
        <v>0</v>
      </c>
      <c r="H26" s="37">
        <f>SUMIF(vendas[data], Tabela19[[#This Row],[Data]], vendas[Lucro Bruto])</f>
        <v>0</v>
      </c>
      <c r="I26" s="37">
        <f>SUMIF(vendas[data], Tabela19[[#This Row],[Data]], vendas[Lucro Líquido])</f>
        <v>0</v>
      </c>
      <c r="J26" s="38">
        <f>SUM($F$5:$F26) - SUM($G$5:$G26)</f>
        <v>0</v>
      </c>
      <c r="K26" s="38">
        <f>SUM($H$5:$H26) - SUM($G$5:$G26)</f>
        <v>0</v>
      </c>
      <c r="L26" s="38">
        <f>SUM($I$5:$I26) - SUM($G$5:$G26)</f>
        <v>0</v>
      </c>
      <c r="M26" s="9">
        <f>SUM($F$5:$F26) - SUM($H$5:$H26)</f>
        <v>0</v>
      </c>
      <c r="N26" s="9">
        <f>SUM($H$5:$H26) - SUM($I$5:$I26)</f>
        <v>0</v>
      </c>
      <c r="O26" s="38">
        <f>Tabela19[Faturamento] + SUM($C$5:$C26) - SUM($D$5:$D26)</f>
        <v>-681.30999999999972</v>
      </c>
    </row>
    <row r="27" spans="2:15">
      <c r="B27" s="31">
        <v>46129</v>
      </c>
      <c r="C27" s="28"/>
      <c r="D27" s="9"/>
      <c r="E27" s="44">
        <f>SUMIF(vendas[data], Tabela19[[#This Row],[Data]], vendas[Qtd.])</f>
        <v>0</v>
      </c>
      <c r="F27" s="37">
        <f>SUMIF(vendas[data], Tabela19[[#This Row],[Data]], vendas[Recebimento])</f>
        <v>0</v>
      </c>
      <c r="G27" s="23">
        <f>SUMIF(compras[Data], Tabela19[[#This Row],[Data]], compras[Valor])</f>
        <v>0</v>
      </c>
      <c r="H27" s="37">
        <f>SUMIF(vendas[data], Tabela19[[#This Row],[Data]], vendas[Lucro Bruto])</f>
        <v>0</v>
      </c>
      <c r="I27" s="37">
        <f>SUMIF(vendas[data], Tabela19[[#This Row],[Data]], vendas[Lucro Líquido])</f>
        <v>0</v>
      </c>
      <c r="J27" s="38">
        <f>SUM($F$5:$F27) - SUM($G$5:$G27)</f>
        <v>0</v>
      </c>
      <c r="K27" s="38">
        <f>SUM($H$5:$H27) - SUM($G$5:$G27)</f>
        <v>0</v>
      </c>
      <c r="L27" s="38">
        <f>SUM($I$5:$I27) - SUM($G$5:$G27)</f>
        <v>0</v>
      </c>
      <c r="M27" s="9">
        <f>SUM($F$5:$F27) - SUM($H$5:$H27)</f>
        <v>0</v>
      </c>
      <c r="N27" s="9">
        <f>SUM($H$5:$H27) - SUM($I$5:$I27)</f>
        <v>0</v>
      </c>
      <c r="O27" s="38">
        <f>Tabela19[Faturamento] + SUM($C$5:$C27) - SUM($D$5:$D27)</f>
        <v>-681.30999999999972</v>
      </c>
    </row>
    <row r="28" spans="2:15">
      <c r="B28" s="31">
        <v>46130</v>
      </c>
      <c r="C28" s="28"/>
      <c r="D28" s="9"/>
      <c r="E28" s="44">
        <f>SUMIF(vendas[data], Tabela19[[#This Row],[Data]], vendas[Qtd.])</f>
        <v>0</v>
      </c>
      <c r="F28" s="37">
        <f>SUMIF(vendas[data], Tabela19[[#This Row],[Data]], vendas[Recebimento])</f>
        <v>0</v>
      </c>
      <c r="G28" s="23">
        <f>SUMIF(compras[Data], Tabela19[[#This Row],[Data]], compras[Valor])</f>
        <v>0</v>
      </c>
      <c r="H28" s="37">
        <f>SUMIF(vendas[data], Tabela19[[#This Row],[Data]], vendas[Lucro Bruto])</f>
        <v>0</v>
      </c>
      <c r="I28" s="37">
        <f>SUMIF(vendas[data], Tabela19[[#This Row],[Data]], vendas[Lucro Líquido])</f>
        <v>0</v>
      </c>
      <c r="J28" s="38">
        <f>SUM($F$5:$F28) - SUM($G$5:$G28)</f>
        <v>0</v>
      </c>
      <c r="K28" s="38">
        <f>SUM($H$5:$H28) - SUM($G$5:$G28)</f>
        <v>0</v>
      </c>
      <c r="L28" s="38">
        <f>SUM($I$5:$I28) - SUM($G$5:$G28)</f>
        <v>0</v>
      </c>
      <c r="M28" s="9">
        <f>SUM($F$5:$F28) - SUM($H$5:$H28)</f>
        <v>0</v>
      </c>
      <c r="N28" s="9">
        <f>SUM($H$5:$H28) - SUM($I$5:$I28)</f>
        <v>0</v>
      </c>
      <c r="O28" s="38">
        <f>Tabela19[Faturamento] + SUM($C$5:$C28) - SUM($D$5:$D28)</f>
        <v>-681.30999999999972</v>
      </c>
    </row>
    <row r="29" spans="2:15">
      <c r="B29" s="31">
        <v>46131</v>
      </c>
      <c r="C29" s="28"/>
      <c r="D29" s="9"/>
      <c r="E29" s="44">
        <f>SUMIF(vendas[data], Tabela19[[#This Row],[Data]], vendas[Qtd.])</f>
        <v>0</v>
      </c>
      <c r="F29" s="37">
        <f>SUMIF(vendas[data], Tabela19[[#This Row],[Data]], vendas[Recebimento])</f>
        <v>0</v>
      </c>
      <c r="G29" s="23">
        <f>SUMIF(compras[Data], Tabela19[[#This Row],[Data]], compras[Valor])</f>
        <v>0</v>
      </c>
      <c r="H29" s="37">
        <f>SUMIF(vendas[data], Tabela19[[#This Row],[Data]], vendas[Lucro Bruto])</f>
        <v>0</v>
      </c>
      <c r="I29" s="37">
        <f>SUMIF(vendas[data], Tabela19[[#This Row],[Data]], vendas[Lucro Líquido])</f>
        <v>0</v>
      </c>
      <c r="J29" s="38">
        <f>SUM($F$5:$F29) - SUM($G$5:$G29)</f>
        <v>0</v>
      </c>
      <c r="K29" s="38">
        <f>SUM($H$5:$H29) - SUM($G$5:$G29)</f>
        <v>0</v>
      </c>
      <c r="L29" s="38">
        <f>SUM($I$5:$I29) - SUM($G$5:$G29)</f>
        <v>0</v>
      </c>
      <c r="M29" s="9">
        <f>SUM($F$5:$F29) - SUM($H$5:$H29)</f>
        <v>0</v>
      </c>
      <c r="N29" s="9">
        <f>SUM($H$5:$H29) - SUM($I$5:$I29)</f>
        <v>0</v>
      </c>
      <c r="O29" s="38">
        <f>Tabela19[Faturamento] + SUM($C$5:$C29) - SUM($D$5:$D29)</f>
        <v>-681.30999999999972</v>
      </c>
    </row>
    <row r="30" spans="2:15">
      <c r="B30" s="31">
        <v>46132</v>
      </c>
      <c r="C30" s="28"/>
      <c r="D30" s="9"/>
      <c r="E30" s="44">
        <f>SUMIF(vendas[data], Tabela19[[#This Row],[Data]], vendas[Qtd.])</f>
        <v>0</v>
      </c>
      <c r="F30" s="37">
        <f>SUMIF(vendas[data], Tabela19[[#This Row],[Data]], vendas[Recebimento])</f>
        <v>0</v>
      </c>
      <c r="G30" s="23">
        <f>SUMIF(compras[Data], Tabela19[[#This Row],[Data]], compras[Valor])</f>
        <v>0</v>
      </c>
      <c r="H30" s="37">
        <f>SUMIF(vendas[data], Tabela19[[#This Row],[Data]], vendas[Lucro Bruto])</f>
        <v>0</v>
      </c>
      <c r="I30" s="37">
        <f>SUMIF(vendas[data], Tabela19[[#This Row],[Data]], vendas[Lucro Líquido])</f>
        <v>0</v>
      </c>
      <c r="J30" s="38">
        <f>SUM($F$5:$F30) - SUM($G$5:$G30)</f>
        <v>0</v>
      </c>
      <c r="K30" s="38">
        <f>SUM($H$5:$H30) - SUM($G$5:$G30)</f>
        <v>0</v>
      </c>
      <c r="L30" s="38">
        <f>SUM($I$5:$I30) - SUM($G$5:$G30)</f>
        <v>0</v>
      </c>
      <c r="M30" s="9">
        <f>SUM($F$5:$F30) - SUM($H$5:$H30)</f>
        <v>0</v>
      </c>
      <c r="N30" s="9">
        <f>SUM($H$5:$H30) - SUM($I$5:$I30)</f>
        <v>0</v>
      </c>
      <c r="O30" s="38">
        <f>Tabela19[Faturamento] + SUM($C$5:$C30) - SUM($D$5:$D30)</f>
        <v>-681.30999999999972</v>
      </c>
    </row>
    <row r="31" spans="2:15">
      <c r="B31" s="31">
        <v>46133</v>
      </c>
      <c r="C31" s="28"/>
      <c r="D31" s="9"/>
      <c r="E31" s="44">
        <f>SUMIF(vendas[data], Tabela19[[#This Row],[Data]], vendas[Qtd.])</f>
        <v>0</v>
      </c>
      <c r="F31" s="37">
        <f>SUMIF(vendas[data], Tabela19[[#This Row],[Data]], vendas[Recebimento])</f>
        <v>0</v>
      </c>
      <c r="G31" s="23">
        <f>SUMIF(compras[Data], Tabela19[[#This Row],[Data]], compras[Valor])</f>
        <v>0</v>
      </c>
      <c r="H31" s="37">
        <f>SUMIF(vendas[data], Tabela19[[#This Row],[Data]], vendas[Lucro Bruto])</f>
        <v>0</v>
      </c>
      <c r="I31" s="37">
        <f>SUMIF(vendas[data], Tabela19[[#This Row],[Data]], vendas[Lucro Líquido])</f>
        <v>0</v>
      </c>
      <c r="J31" s="38">
        <f>SUM($F$5:$F31) - SUM($G$5:$G31)</f>
        <v>0</v>
      </c>
      <c r="K31" s="38">
        <f>SUM($H$5:$H31) - SUM($G$5:$G31)</f>
        <v>0</v>
      </c>
      <c r="L31" s="38">
        <f>SUM($I$5:$I31) - SUM($G$5:$G31)</f>
        <v>0</v>
      </c>
      <c r="M31" s="9">
        <f>SUM($F$5:$F31) - SUM($H$5:$H31)</f>
        <v>0</v>
      </c>
      <c r="N31" s="9">
        <f>SUM($H$5:$H31) - SUM($I$5:$I31)</f>
        <v>0</v>
      </c>
      <c r="O31" s="38">
        <f>Tabela19[Faturamento] + SUM($C$5:$C31) - SUM($D$5:$D31)</f>
        <v>-681.30999999999972</v>
      </c>
    </row>
    <row r="32" spans="2:15">
      <c r="B32" s="31">
        <v>46134</v>
      </c>
      <c r="C32" s="28"/>
      <c r="D32" s="9"/>
      <c r="E32" s="44">
        <f>SUMIF(vendas[data], Tabela19[[#This Row],[Data]], vendas[Qtd.])</f>
        <v>0</v>
      </c>
      <c r="F32" s="37">
        <f>SUMIF(vendas[data], Tabela19[[#This Row],[Data]], vendas[Recebimento])</f>
        <v>0</v>
      </c>
      <c r="G32" s="23">
        <f>SUMIF(compras[Data], Tabela19[[#This Row],[Data]], compras[Valor])</f>
        <v>0</v>
      </c>
      <c r="H32" s="37">
        <f>SUMIF(vendas[data], Tabela19[[#This Row],[Data]], vendas[Lucro Bruto])</f>
        <v>0</v>
      </c>
      <c r="I32" s="37">
        <f>SUMIF(vendas[data], Tabela19[[#This Row],[Data]], vendas[Lucro Líquido])</f>
        <v>0</v>
      </c>
      <c r="J32" s="38">
        <f>SUM($F$5:$F32) - SUM($G$5:$G32)</f>
        <v>0</v>
      </c>
      <c r="K32" s="38">
        <f>SUM($H$5:$H32) - SUM($G$5:$G32)</f>
        <v>0</v>
      </c>
      <c r="L32" s="38">
        <f>SUM($I$5:$I32) - SUM($G$5:$G32)</f>
        <v>0</v>
      </c>
      <c r="M32" s="9">
        <f>SUM($F$5:$F32) - SUM($H$5:$H32)</f>
        <v>0</v>
      </c>
      <c r="N32" s="9">
        <f>SUM($H$5:$H32) - SUM($I$5:$I32)</f>
        <v>0</v>
      </c>
      <c r="O32" s="38">
        <f>Tabela19[Faturamento] + SUM($C$5:$C32) - SUM($D$5:$D32)</f>
        <v>-681.30999999999972</v>
      </c>
    </row>
    <row r="33" spans="2:15">
      <c r="B33" s="31">
        <v>46135</v>
      </c>
      <c r="C33" s="28"/>
      <c r="D33" s="9"/>
      <c r="E33" s="44">
        <f>SUMIF(vendas[data], Tabela19[[#This Row],[Data]], vendas[Qtd.])</f>
        <v>0</v>
      </c>
      <c r="F33" s="37">
        <f>SUMIF(vendas[data], Tabela19[[#This Row],[Data]], vendas[Recebimento])</f>
        <v>0</v>
      </c>
      <c r="G33" s="23">
        <f>SUMIF(compras[Data], Tabela19[[#This Row],[Data]], compras[Valor])</f>
        <v>0</v>
      </c>
      <c r="H33" s="37">
        <f>SUMIF(vendas[data], Tabela19[[#This Row],[Data]], vendas[Lucro Bruto])</f>
        <v>0</v>
      </c>
      <c r="I33" s="37">
        <f>SUMIF(vendas[data], Tabela19[[#This Row],[Data]], vendas[Lucro Líquido])</f>
        <v>0</v>
      </c>
      <c r="J33" s="38">
        <f>SUM($F$5:$F33) - SUM($G$5:$G33)</f>
        <v>0</v>
      </c>
      <c r="K33" s="38">
        <f>SUM($H$5:$H33) - SUM($G$5:$G33)</f>
        <v>0</v>
      </c>
      <c r="L33" s="38">
        <f>SUM($I$5:$I33) - SUM($G$5:$G33)</f>
        <v>0</v>
      </c>
      <c r="M33" s="9">
        <f>SUM($F$5:$F33) - SUM($H$5:$H33)</f>
        <v>0</v>
      </c>
      <c r="N33" s="9">
        <f>SUM($H$5:$H33) - SUM($I$5:$I33)</f>
        <v>0</v>
      </c>
      <c r="O33" s="38">
        <f>Tabela19[Faturamento] + SUM($C$5:$C33) - SUM($D$5:$D33)</f>
        <v>-681.30999999999972</v>
      </c>
    </row>
    <row r="34" spans="2:15">
      <c r="B34" s="31">
        <v>46136</v>
      </c>
      <c r="C34" s="28"/>
      <c r="D34" s="9"/>
      <c r="E34" s="44">
        <f>SUMIF(vendas[data], Tabela19[[#This Row],[Data]], vendas[Qtd.])</f>
        <v>0</v>
      </c>
      <c r="F34" s="37">
        <f>SUMIF(vendas[data], Tabela19[[#This Row],[Data]], vendas[Recebimento])</f>
        <v>0</v>
      </c>
      <c r="G34" s="23">
        <f>SUMIF(compras[Data], Tabela19[[#This Row],[Data]], compras[Valor])</f>
        <v>0</v>
      </c>
      <c r="H34" s="37">
        <f>SUMIF(vendas[data], Tabela19[[#This Row],[Data]], vendas[Lucro Bruto])</f>
        <v>0</v>
      </c>
      <c r="I34" s="37">
        <f>SUMIF(vendas[data], Tabela19[[#This Row],[Data]], vendas[Lucro Líquido])</f>
        <v>0</v>
      </c>
      <c r="J34" s="38">
        <f>SUM($F$5:$F34) - SUM($G$5:$G34)</f>
        <v>0</v>
      </c>
      <c r="K34" s="38">
        <f>SUM($H$5:$H34) - SUM($G$5:$G34)</f>
        <v>0</v>
      </c>
      <c r="L34" s="38">
        <f>SUM($I$5:$I34) - SUM($G$5:$G34)</f>
        <v>0</v>
      </c>
      <c r="M34" s="9">
        <f>SUM($F$5:$F34) - SUM($H$5:$H34)</f>
        <v>0</v>
      </c>
      <c r="N34" s="9">
        <f>SUM($H$5:$H34) - SUM($I$5:$I34)</f>
        <v>0</v>
      </c>
      <c r="O34" s="38">
        <f>Tabela19[Faturamento] + SUM($C$5:$C34) - SUM($D$5:$D34)</f>
        <v>-681.30999999999972</v>
      </c>
    </row>
    <row r="35" spans="2:15">
      <c r="B35" s="31">
        <v>46137</v>
      </c>
      <c r="C35" s="28"/>
      <c r="D35" s="9"/>
      <c r="E35" s="44">
        <f>SUMIF(vendas[data], Tabela19[[#This Row],[Data]], vendas[Qtd.])</f>
        <v>0</v>
      </c>
      <c r="F35" s="37">
        <f>SUMIF(vendas[data], Tabela19[[#This Row],[Data]], vendas[Recebimento])</f>
        <v>0</v>
      </c>
      <c r="G35" s="23">
        <f>SUMIF(compras[Data], Tabela19[[#This Row],[Data]], compras[Valor])</f>
        <v>0</v>
      </c>
      <c r="H35" s="37">
        <f>SUMIF(vendas[data], Tabela19[[#This Row],[Data]], vendas[Lucro Bruto])</f>
        <v>0</v>
      </c>
      <c r="I35" s="37">
        <f>SUMIF(vendas[data], Tabela19[[#This Row],[Data]], vendas[Lucro Líquido])</f>
        <v>0</v>
      </c>
      <c r="J35" s="38">
        <f>SUM($F$5:$F35) - SUM($G$5:$G35)</f>
        <v>0</v>
      </c>
      <c r="K35" s="38">
        <f>SUM($H$5:$H35) - SUM($G$5:$G35)</f>
        <v>0</v>
      </c>
      <c r="L35" s="38">
        <f>SUM($I$5:$I35) - SUM($G$5:$G35)</f>
        <v>0</v>
      </c>
      <c r="M35" s="9">
        <f>SUM($F$5:$F35) - SUM($H$5:$H35)</f>
        <v>0</v>
      </c>
      <c r="N35" s="9">
        <f>SUM($H$5:$H35) - SUM($I$5:$I35)</f>
        <v>0</v>
      </c>
      <c r="O35" s="38">
        <f>Tabela19[Faturamento] + SUM($C$5:$C35) - SUM($D$5:$D35)</f>
        <v>-681.30999999999972</v>
      </c>
    </row>
    <row r="36" spans="2:15">
      <c r="B36" s="31">
        <v>46138</v>
      </c>
      <c r="C36" s="28"/>
      <c r="D36" s="9"/>
      <c r="E36" s="44">
        <f>SUMIF(vendas[data], Tabela19[[#This Row],[Data]], vendas[Qtd.])</f>
        <v>0</v>
      </c>
      <c r="F36" s="37">
        <f>SUMIF(vendas[data], Tabela19[[#This Row],[Data]], vendas[Recebimento])</f>
        <v>0</v>
      </c>
      <c r="G36" s="23">
        <f>SUMIF(compras[Data], Tabela19[[#This Row],[Data]], compras[Valor])</f>
        <v>0</v>
      </c>
      <c r="H36" s="37">
        <f>SUMIF(vendas[data], Tabela19[[#This Row],[Data]], vendas[Lucro Bruto])</f>
        <v>0</v>
      </c>
      <c r="I36" s="37">
        <f>SUMIF(vendas[data], Tabela19[[#This Row],[Data]], vendas[Lucro Líquido])</f>
        <v>0</v>
      </c>
      <c r="J36" s="38">
        <f>SUM($F$5:$F36) - SUM($G$5:$G36)</f>
        <v>0</v>
      </c>
      <c r="K36" s="38">
        <f>SUM($H$5:$H36) - SUM($G$5:$G36)</f>
        <v>0</v>
      </c>
      <c r="L36" s="38">
        <f>SUM($I$5:$I36) - SUM($G$5:$G36)</f>
        <v>0</v>
      </c>
      <c r="M36" s="9">
        <f>SUM($F$5:$F36) - SUM($H$5:$H36)</f>
        <v>0</v>
      </c>
      <c r="N36" s="9">
        <f>SUM($H$5:$H36) - SUM($I$5:$I36)</f>
        <v>0</v>
      </c>
      <c r="O36" s="38">
        <f>Tabela19[Faturamento] + SUM($C$5:$C36) - SUM($D$5:$D36)</f>
        <v>-681.30999999999972</v>
      </c>
    </row>
    <row r="37" spans="2:15">
      <c r="B37" s="31">
        <v>46139</v>
      </c>
      <c r="C37" s="28"/>
      <c r="D37" s="9"/>
      <c r="E37" s="44">
        <f>SUMIF(vendas[data], Tabela19[[#This Row],[Data]], vendas[Qtd.])</f>
        <v>0</v>
      </c>
      <c r="F37" s="37">
        <f>SUMIF(vendas[data], Tabela19[[#This Row],[Data]], vendas[Recebimento])</f>
        <v>0</v>
      </c>
      <c r="G37" s="23">
        <f>SUMIF(compras[Data], Tabela19[[#This Row],[Data]], compras[Valor])</f>
        <v>0</v>
      </c>
      <c r="H37" s="37">
        <f>SUMIF(vendas[data], Tabela19[[#This Row],[Data]], vendas[Lucro Bruto])</f>
        <v>0</v>
      </c>
      <c r="I37" s="37">
        <f>SUMIF(vendas[data], Tabela19[[#This Row],[Data]], vendas[Lucro Líquido])</f>
        <v>0</v>
      </c>
      <c r="J37" s="38">
        <f>SUM($F$5:$F37) - SUM($G$5:$G37)</f>
        <v>0</v>
      </c>
      <c r="K37" s="38">
        <f>SUM($H$5:$H37) - SUM($G$5:$G37)</f>
        <v>0</v>
      </c>
      <c r="L37" s="38">
        <f>SUM($I$5:$I37) - SUM($G$5:$G37)</f>
        <v>0</v>
      </c>
      <c r="M37" s="9">
        <f>SUM($F$5:$F37) - SUM($H$5:$H37)</f>
        <v>0</v>
      </c>
      <c r="N37" s="9">
        <f>SUM($H$5:$H37) - SUM($I$5:$I37)</f>
        <v>0</v>
      </c>
      <c r="O37" s="38">
        <f>Tabela19[Faturamento] + SUM($C$5:$C37) - SUM($D$5:$D37)</f>
        <v>-681.30999999999972</v>
      </c>
    </row>
    <row r="38" spans="2:15">
      <c r="B38" s="31">
        <v>46140</v>
      </c>
      <c r="C38" s="28"/>
      <c r="D38" s="9"/>
      <c r="E38" s="44">
        <f>SUMIF(vendas[data], Tabela19[[#This Row],[Data]], vendas[Qtd.])</f>
        <v>0</v>
      </c>
      <c r="F38" s="37">
        <f>SUMIF(vendas[data], Tabela19[[#This Row],[Data]], vendas[Recebimento])</f>
        <v>0</v>
      </c>
      <c r="G38" s="23">
        <f>SUMIF(compras[Data], Tabela19[[#This Row],[Data]], compras[Valor])</f>
        <v>0</v>
      </c>
      <c r="H38" s="37">
        <f>SUMIF(vendas[data], Tabela19[[#This Row],[Data]], vendas[Lucro Bruto])</f>
        <v>0</v>
      </c>
      <c r="I38" s="37">
        <f>SUMIF(vendas[data], Tabela19[[#This Row],[Data]], vendas[Lucro Líquido])</f>
        <v>0</v>
      </c>
      <c r="J38" s="38">
        <f>SUM($F$5:$F38) - SUM($G$5:$G38)</f>
        <v>0</v>
      </c>
      <c r="K38" s="38">
        <f>SUM($H$5:$H38) - SUM($G$5:$G38)</f>
        <v>0</v>
      </c>
      <c r="L38" s="38">
        <f>SUM($I$5:$I38) - SUM($G$5:$G38)</f>
        <v>0</v>
      </c>
      <c r="M38" s="9">
        <f>SUM($F$5:$F38) - SUM($H$5:$H38)</f>
        <v>0</v>
      </c>
      <c r="N38" s="9">
        <f>SUM($H$5:$H38) - SUM($I$5:$I38)</f>
        <v>0</v>
      </c>
      <c r="O38" s="38">
        <f>Tabela19[Faturamento] + SUM($C$5:$C38) - SUM($D$5:$D38)</f>
        <v>-681.30999999999972</v>
      </c>
    </row>
    <row r="39" spans="2:15">
      <c r="B39" s="31">
        <v>46141</v>
      </c>
      <c r="C39" s="28"/>
      <c r="D39" s="9"/>
      <c r="E39" s="44">
        <f>SUMIF(vendas[data], Tabela19[[#This Row],[Data]], vendas[Qtd.])</f>
        <v>0</v>
      </c>
      <c r="F39" s="37">
        <f>SUMIF(vendas[data], Tabela19[[#This Row],[Data]], vendas[Recebimento])</f>
        <v>0</v>
      </c>
      <c r="G39" s="23">
        <f>SUMIF(compras[Data], Tabela19[[#This Row],[Data]], compras[Valor])</f>
        <v>0</v>
      </c>
      <c r="H39" s="37">
        <f>SUMIF(vendas[data], Tabela19[[#This Row],[Data]], vendas[Lucro Bruto])</f>
        <v>0</v>
      </c>
      <c r="I39" s="37">
        <f>SUMIF(vendas[data], Tabela19[[#This Row],[Data]], vendas[Lucro Líquido])</f>
        <v>0</v>
      </c>
      <c r="J39" s="38">
        <f>SUM($F$5:$F39) - SUM($G$5:$G39)</f>
        <v>0</v>
      </c>
      <c r="K39" s="38">
        <f>SUM($H$5:$H39) - SUM($G$5:$G39)</f>
        <v>0</v>
      </c>
      <c r="L39" s="38">
        <f>SUM($I$5:$I39) - SUM($G$5:$G39)</f>
        <v>0</v>
      </c>
      <c r="M39" s="9">
        <f>SUM($F$5:$F39) - SUM($H$5:$H39)</f>
        <v>0</v>
      </c>
      <c r="N39" s="9">
        <f>SUM($H$5:$H39) - SUM($I$5:$I39)</f>
        <v>0</v>
      </c>
      <c r="O39" s="38">
        <f>Tabela19[Faturamento] + SUM($C$5:$C39) - SUM($D$5:$D39)</f>
        <v>-681.30999999999972</v>
      </c>
    </row>
    <row r="40" spans="2:15">
      <c r="B40" s="31">
        <v>46142</v>
      </c>
      <c r="C40" s="28"/>
      <c r="D40" s="9"/>
      <c r="E40" s="44">
        <f>SUMIF(vendas[data], Tabela19[[#This Row],[Data]], vendas[Qtd.])</f>
        <v>0</v>
      </c>
      <c r="F40" s="37">
        <f>SUMIF(vendas[data], Tabela19[[#This Row],[Data]], vendas[Recebimento])</f>
        <v>0</v>
      </c>
      <c r="G40" s="23">
        <f>SUMIF(compras[Data], Tabela19[[#This Row],[Data]], compras[Valor])</f>
        <v>0</v>
      </c>
      <c r="H40" s="37">
        <f>SUMIF(vendas[data], Tabela19[[#This Row],[Data]], vendas[Lucro Bruto])</f>
        <v>0</v>
      </c>
      <c r="I40" s="37">
        <f>SUMIF(vendas[data], Tabela19[[#This Row],[Data]], vendas[Lucro Líquido])</f>
        <v>0</v>
      </c>
      <c r="J40" s="38">
        <f>SUM($F$5:$F40) - SUM($G$5:$G40)</f>
        <v>0</v>
      </c>
      <c r="K40" s="38">
        <f>SUM($H$5:$H40) - SUM($G$5:$G40)</f>
        <v>0</v>
      </c>
      <c r="L40" s="38">
        <f>SUM($I$5:$I40) - SUM($G$5:$G40)</f>
        <v>0</v>
      </c>
      <c r="M40" s="9">
        <f>SUM($F$5:$F40) - SUM($H$5:$H40)</f>
        <v>0</v>
      </c>
      <c r="N40" s="9">
        <f>SUM($H$5:$H40) - SUM($I$5:$I40)</f>
        <v>0</v>
      </c>
      <c r="O40" s="38">
        <f>Tabela19[Faturamento] + SUM($C$5:$C40) - SUM($D$5:$D40)</f>
        <v>-681.30999999999972</v>
      </c>
    </row>
    <row r="41" spans="2:15">
      <c r="B41" s="31">
        <v>46143</v>
      </c>
      <c r="C41" s="28"/>
      <c r="D41" s="9"/>
      <c r="E41" s="44">
        <f>SUMIF(vendas[data], Tabela19[[#This Row],[Data]], vendas[Qtd.])</f>
        <v>0</v>
      </c>
      <c r="F41" s="37">
        <f>SUMIF(vendas[data], Tabela19[[#This Row],[Data]], vendas[Recebimento])</f>
        <v>0</v>
      </c>
      <c r="G41" s="23">
        <f>SUMIF(compras[Data], Tabela19[[#This Row],[Data]], compras[Valor])</f>
        <v>0</v>
      </c>
      <c r="H41" s="37">
        <f>SUMIF(vendas[data], Tabela19[[#This Row],[Data]], vendas[Lucro Bruto])</f>
        <v>0</v>
      </c>
      <c r="I41" s="37">
        <f>SUMIF(vendas[data], Tabela19[[#This Row],[Data]], vendas[Lucro Líquido])</f>
        <v>0</v>
      </c>
      <c r="J41" s="38">
        <f>SUM($F$5:$F41) - SUM($G$5:$G41)</f>
        <v>0</v>
      </c>
      <c r="K41" s="38">
        <f>SUM($H$5:$H41) - SUM($G$5:$G41)</f>
        <v>0</v>
      </c>
      <c r="L41" s="38">
        <f>SUM($I$5:$I41) - SUM($G$5:$G41)</f>
        <v>0</v>
      </c>
      <c r="M41" s="9">
        <f>SUM($F$5:$F41) - SUM($H$5:$H41)</f>
        <v>0</v>
      </c>
      <c r="N41" s="9">
        <f>SUM($H$5:$H41) - SUM($I$5:$I41)</f>
        <v>0</v>
      </c>
      <c r="O41" s="38">
        <f>Tabela19[Faturamento] + SUM($C$5:$C41) - SUM($D$5:$D41)</f>
        <v>-681.30999999999972</v>
      </c>
    </row>
    <row r="42" spans="2:15">
      <c r="B42" s="31">
        <v>46144</v>
      </c>
      <c r="C42" s="28"/>
      <c r="D42" s="9"/>
      <c r="E42" s="44">
        <f>SUMIF(vendas[data], Tabela19[[#This Row],[Data]], vendas[Qtd.])</f>
        <v>0</v>
      </c>
      <c r="F42" s="37">
        <f>SUMIF(vendas[data], Tabela19[[#This Row],[Data]], vendas[Recebimento])</f>
        <v>0</v>
      </c>
      <c r="G42" s="23">
        <f>SUMIF(compras[Data], Tabela19[[#This Row],[Data]], compras[Valor])</f>
        <v>0</v>
      </c>
      <c r="H42" s="37">
        <f>SUMIF(vendas[data], Tabela19[[#This Row],[Data]], vendas[Lucro Bruto])</f>
        <v>0</v>
      </c>
      <c r="I42" s="37">
        <f>SUMIF(vendas[data], Tabela19[[#This Row],[Data]], vendas[Lucro Líquido])</f>
        <v>0</v>
      </c>
      <c r="J42" s="38">
        <f>SUM($F$5:$F42) - SUM($G$5:$G42)</f>
        <v>0</v>
      </c>
      <c r="K42" s="38">
        <f>SUM($H$5:$H42) - SUM($G$5:$G42)</f>
        <v>0</v>
      </c>
      <c r="L42" s="38">
        <f>SUM($I$5:$I42) - SUM($G$5:$G42)</f>
        <v>0</v>
      </c>
      <c r="M42" s="9">
        <f>SUM($F$5:$F42) - SUM($H$5:$H42)</f>
        <v>0</v>
      </c>
      <c r="N42" s="9">
        <f>SUM($H$5:$H42) - SUM($I$5:$I42)</f>
        <v>0</v>
      </c>
      <c r="O42" s="38">
        <f>Tabela19[Faturamento] + SUM($C$5:$C42) - SUM($D$5:$D42)</f>
        <v>-681.30999999999972</v>
      </c>
    </row>
    <row r="43" spans="2:15">
      <c r="B43" s="31">
        <v>46145</v>
      </c>
      <c r="C43" s="28"/>
      <c r="D43" s="9"/>
      <c r="E43" s="44">
        <f>SUMIF(vendas[data], Tabela19[[#This Row],[Data]], vendas[Qtd.])</f>
        <v>0</v>
      </c>
      <c r="F43" s="37">
        <f>SUMIF(vendas[data], Tabela19[[#This Row],[Data]], vendas[Recebimento])</f>
        <v>0</v>
      </c>
      <c r="G43" s="23">
        <f>SUMIF(compras[Data], Tabela19[[#This Row],[Data]], compras[Valor])</f>
        <v>0</v>
      </c>
      <c r="H43" s="37">
        <f>SUMIF(vendas[data], Tabela19[[#This Row],[Data]], vendas[Lucro Bruto])</f>
        <v>0</v>
      </c>
      <c r="I43" s="37">
        <f>SUMIF(vendas[data], Tabela19[[#This Row],[Data]], vendas[Lucro Líquido])</f>
        <v>0</v>
      </c>
      <c r="J43" s="38">
        <f>SUM($F$5:$F43) - SUM($G$5:$G43)</f>
        <v>0</v>
      </c>
      <c r="K43" s="38">
        <f>SUM($H$5:$H43) - SUM($G$5:$G43)</f>
        <v>0</v>
      </c>
      <c r="L43" s="38">
        <f>SUM($I$5:$I43) - SUM($G$5:$G43)</f>
        <v>0</v>
      </c>
      <c r="M43" s="9">
        <f>SUM($F$5:$F43) - SUM($H$5:$H43)</f>
        <v>0</v>
      </c>
      <c r="N43" s="9">
        <f>SUM($H$5:$H43) - SUM($I$5:$I43)</f>
        <v>0</v>
      </c>
      <c r="O43" s="38">
        <f>Tabela19[Faturamento] + SUM($C$5:$C43) - SUM($D$5:$D43)</f>
        <v>-681.30999999999972</v>
      </c>
    </row>
    <row r="44" spans="2:15">
      <c r="B44" s="31">
        <v>46146</v>
      </c>
      <c r="C44" s="28"/>
      <c r="D44" s="9"/>
      <c r="E44" s="44">
        <f>SUMIF(vendas[data], Tabela19[[#This Row],[Data]], vendas[Qtd.])</f>
        <v>0</v>
      </c>
      <c r="F44" s="37">
        <f>SUMIF(vendas[data], Tabela19[[#This Row],[Data]], vendas[Recebimento])</f>
        <v>0</v>
      </c>
      <c r="G44" s="23">
        <f>SUMIF(compras[Data], Tabela19[[#This Row],[Data]], compras[Valor])</f>
        <v>0</v>
      </c>
      <c r="H44" s="37">
        <f>SUMIF(vendas[data], Tabela19[[#This Row],[Data]], vendas[Lucro Bruto])</f>
        <v>0</v>
      </c>
      <c r="I44" s="37">
        <f>SUMIF(vendas[data], Tabela19[[#This Row],[Data]], vendas[Lucro Líquido])</f>
        <v>0</v>
      </c>
      <c r="J44" s="38">
        <f>SUM($F$5:$F44) - SUM($G$5:$G44)</f>
        <v>0</v>
      </c>
      <c r="K44" s="38">
        <f>SUM($H$5:$H44) - SUM($G$5:$G44)</f>
        <v>0</v>
      </c>
      <c r="L44" s="38">
        <f>SUM($I$5:$I44) - SUM($G$5:$G44)</f>
        <v>0</v>
      </c>
      <c r="M44" s="9">
        <f>SUM($F$5:$F44) - SUM($H$5:$H44)</f>
        <v>0</v>
      </c>
      <c r="N44" s="9">
        <f>SUM($H$5:$H44) - SUM($I$5:$I44)</f>
        <v>0</v>
      </c>
      <c r="O44" s="38">
        <f>Tabela19[Faturamento] + SUM($C$5:$C44) - SUM($D$5:$D44)</f>
        <v>-681.30999999999972</v>
      </c>
    </row>
    <row r="45" spans="2:15">
      <c r="B45" s="31">
        <v>46147</v>
      </c>
      <c r="C45" s="28"/>
      <c r="D45" s="9"/>
      <c r="E45" s="44">
        <f>SUMIF(vendas[data], Tabela19[[#This Row],[Data]], vendas[Qtd.])</f>
        <v>0</v>
      </c>
      <c r="F45" s="37">
        <f>SUMIF(vendas[data], Tabela19[[#This Row],[Data]], vendas[Recebimento])</f>
        <v>0</v>
      </c>
      <c r="G45" s="23">
        <f>SUMIF(compras[Data], Tabela19[[#This Row],[Data]], compras[Valor])</f>
        <v>0</v>
      </c>
      <c r="H45" s="37">
        <f>SUMIF(vendas[data], Tabela19[[#This Row],[Data]], vendas[Lucro Bruto])</f>
        <v>0</v>
      </c>
      <c r="I45" s="37">
        <f>SUMIF(vendas[data], Tabela19[[#This Row],[Data]], vendas[Lucro Líquido])</f>
        <v>0</v>
      </c>
      <c r="J45" s="38">
        <f>SUM($F$5:$F45) - SUM($G$5:$G45)</f>
        <v>0</v>
      </c>
      <c r="K45" s="38">
        <f>SUM($H$5:$H45) - SUM($G$5:$G45)</f>
        <v>0</v>
      </c>
      <c r="L45" s="38">
        <f>SUM($I$5:$I45) - SUM($G$5:$G45)</f>
        <v>0</v>
      </c>
      <c r="M45" s="9">
        <f>SUM($F$5:$F45) - SUM($H$5:$H45)</f>
        <v>0</v>
      </c>
      <c r="N45" s="9">
        <f>SUM($H$5:$H45) - SUM($I$5:$I45)</f>
        <v>0</v>
      </c>
      <c r="O45" s="38">
        <f>Tabela19[Faturamento] + SUM($C$5:$C45) - SUM($D$5:$D45)</f>
        <v>-681.30999999999972</v>
      </c>
    </row>
    <row r="46" spans="2:15">
      <c r="B46" s="31">
        <v>46148</v>
      </c>
      <c r="C46" s="28"/>
      <c r="D46" s="9"/>
      <c r="E46" s="44">
        <f>SUMIF(vendas[data], Tabela19[[#This Row],[Data]], vendas[Qtd.])</f>
        <v>0</v>
      </c>
      <c r="F46" s="37">
        <f>SUMIF(vendas[data], Tabela19[[#This Row],[Data]], vendas[Recebimento])</f>
        <v>0</v>
      </c>
      <c r="G46" s="23">
        <f>SUMIF(compras[Data], Tabela19[[#This Row],[Data]], compras[Valor])</f>
        <v>0</v>
      </c>
      <c r="H46" s="37">
        <f>SUMIF(vendas[data], Tabela19[[#This Row],[Data]], vendas[Lucro Bruto])</f>
        <v>0</v>
      </c>
      <c r="I46" s="37">
        <f>SUMIF(vendas[data], Tabela19[[#This Row],[Data]], vendas[Lucro Líquido])</f>
        <v>0</v>
      </c>
      <c r="J46" s="38">
        <f>SUM($F$5:$F46) - SUM($G$5:$G46)</f>
        <v>0</v>
      </c>
      <c r="K46" s="38">
        <f>SUM($H$5:$H46) - SUM($G$5:$G46)</f>
        <v>0</v>
      </c>
      <c r="L46" s="38">
        <f>SUM($I$5:$I46) - SUM($G$5:$G46)</f>
        <v>0</v>
      </c>
      <c r="M46" s="9">
        <f>SUM($F$5:$F46) - SUM($H$5:$H46)</f>
        <v>0</v>
      </c>
      <c r="N46" s="9">
        <f>SUM($H$5:$H46) - SUM($I$5:$I46)</f>
        <v>0</v>
      </c>
      <c r="O46" s="38">
        <f>Tabela19[Faturamento] + SUM($C$5:$C46) - SUM($D$5:$D46)</f>
        <v>-681.30999999999972</v>
      </c>
    </row>
    <row r="47" spans="2:15">
      <c r="B47" s="31">
        <v>46149</v>
      </c>
      <c r="C47" s="28"/>
      <c r="D47" s="9"/>
      <c r="E47" s="44">
        <f>SUMIF(vendas[data], Tabela19[[#This Row],[Data]], vendas[Qtd.])</f>
        <v>0</v>
      </c>
      <c r="F47" s="37">
        <f>SUMIF(vendas[data], Tabela19[[#This Row],[Data]], vendas[Recebimento])</f>
        <v>0</v>
      </c>
      <c r="G47" s="23">
        <f>SUMIF(compras[Data], Tabela19[[#This Row],[Data]], compras[Valor])</f>
        <v>0</v>
      </c>
      <c r="H47" s="37">
        <f>SUMIF(vendas[data], Tabela19[[#This Row],[Data]], vendas[Lucro Bruto])</f>
        <v>0</v>
      </c>
      <c r="I47" s="37">
        <f>SUMIF(vendas[data], Tabela19[[#This Row],[Data]], vendas[Lucro Líquido])</f>
        <v>0</v>
      </c>
      <c r="J47" s="38">
        <f>SUM($F$5:$F47) - SUM($G$5:$G47)</f>
        <v>0</v>
      </c>
      <c r="K47" s="38">
        <f>SUM($H$5:$H47) - SUM($G$5:$G47)</f>
        <v>0</v>
      </c>
      <c r="L47" s="38">
        <f>SUM($I$5:$I47) - SUM($G$5:$G47)</f>
        <v>0</v>
      </c>
      <c r="M47" s="9">
        <f>SUM($F$5:$F47) - SUM($H$5:$H47)</f>
        <v>0</v>
      </c>
      <c r="N47" s="9">
        <f>SUM($H$5:$H47) - SUM($I$5:$I47)</f>
        <v>0</v>
      </c>
      <c r="O47" s="38">
        <f>Tabela19[Faturamento] + SUM($C$5:$C47) - SUM($D$5:$D47)</f>
        <v>-681.30999999999972</v>
      </c>
    </row>
    <row r="48" spans="2:15">
      <c r="B48" s="31">
        <v>46150</v>
      </c>
      <c r="C48" s="28"/>
      <c r="D48" s="9"/>
      <c r="E48" s="44">
        <f>SUMIF(vendas[data], Tabela19[[#This Row],[Data]], vendas[Qtd.])</f>
        <v>0</v>
      </c>
      <c r="F48" s="37">
        <f>SUMIF(vendas[data], Tabela19[[#This Row],[Data]], vendas[Recebimento])</f>
        <v>0</v>
      </c>
      <c r="G48" s="23">
        <f>SUMIF(compras[Data], Tabela19[[#This Row],[Data]], compras[Valor])</f>
        <v>0</v>
      </c>
      <c r="H48" s="37">
        <f>SUMIF(vendas[data], Tabela19[[#This Row],[Data]], vendas[Lucro Bruto])</f>
        <v>0</v>
      </c>
      <c r="I48" s="37">
        <f>SUMIF(vendas[data], Tabela19[[#This Row],[Data]], vendas[Lucro Líquido])</f>
        <v>0</v>
      </c>
      <c r="J48" s="38">
        <f>SUM($F$5:$F48) - SUM($G$5:$G48)</f>
        <v>0</v>
      </c>
      <c r="K48" s="38">
        <f>SUM($H$5:$H48) - SUM($G$5:$G48)</f>
        <v>0</v>
      </c>
      <c r="L48" s="38">
        <f>SUM($I$5:$I48) - SUM($G$5:$G48)</f>
        <v>0</v>
      </c>
      <c r="M48" s="9">
        <f>SUM($F$5:$F48) - SUM($H$5:$H48)</f>
        <v>0</v>
      </c>
      <c r="N48" s="9">
        <f>SUM($H$5:$H48) - SUM($I$5:$I48)</f>
        <v>0</v>
      </c>
      <c r="O48" s="38">
        <f>Tabela19[Faturamento] + SUM($C$5:$C48) - SUM($D$5:$D48)</f>
        <v>-681.30999999999972</v>
      </c>
    </row>
    <row r="49" spans="2:15">
      <c r="B49" s="31">
        <v>46151</v>
      </c>
      <c r="C49" s="28"/>
      <c r="D49" s="9"/>
      <c r="E49" s="44">
        <f>SUMIF(vendas[data], Tabela19[[#This Row],[Data]], vendas[Qtd.])</f>
        <v>0</v>
      </c>
      <c r="F49" s="37">
        <f>SUMIF(vendas[data], Tabela19[[#This Row],[Data]], vendas[Recebimento])</f>
        <v>0</v>
      </c>
      <c r="G49" s="23">
        <f>SUMIF(compras[Data], Tabela19[[#This Row],[Data]], compras[Valor])</f>
        <v>0</v>
      </c>
      <c r="H49" s="37">
        <f>SUMIF(vendas[data], Tabela19[[#This Row],[Data]], vendas[Lucro Bruto])</f>
        <v>0</v>
      </c>
      <c r="I49" s="37">
        <f>SUMIF(vendas[data], Tabela19[[#This Row],[Data]], vendas[Lucro Líquido])</f>
        <v>0</v>
      </c>
      <c r="J49" s="38">
        <f>SUM($F$5:$F49) - SUM($G$5:$G49)</f>
        <v>0</v>
      </c>
      <c r="K49" s="38">
        <f>SUM($H$5:$H49) - SUM($G$5:$G49)</f>
        <v>0</v>
      </c>
      <c r="L49" s="38">
        <f>SUM($I$5:$I49) - SUM($G$5:$G49)</f>
        <v>0</v>
      </c>
      <c r="M49" s="9">
        <f>SUM($F$5:$F49) - SUM($H$5:$H49)</f>
        <v>0</v>
      </c>
      <c r="N49" s="9">
        <f>SUM($H$5:$H49) - SUM($I$5:$I49)</f>
        <v>0</v>
      </c>
      <c r="O49" s="38">
        <f>Tabela19[Faturamento] + SUM($C$5:$C49) - SUM($D$5:$D49)</f>
        <v>-681.30999999999972</v>
      </c>
    </row>
    <row r="50" spans="2:15">
      <c r="B50" s="31">
        <v>46152</v>
      </c>
      <c r="C50" s="28"/>
      <c r="D50" s="9"/>
      <c r="E50" s="44">
        <f>SUMIF(vendas[data], Tabela19[[#This Row],[Data]], vendas[Qtd.])</f>
        <v>0</v>
      </c>
      <c r="F50" s="37">
        <f>SUMIF(vendas[data], Tabela19[[#This Row],[Data]], vendas[Recebimento])</f>
        <v>0</v>
      </c>
      <c r="G50" s="23">
        <f>SUMIF(compras[Data], Tabela19[[#This Row],[Data]], compras[Valor])</f>
        <v>0</v>
      </c>
      <c r="H50" s="37">
        <f>SUMIF(vendas[data], Tabela19[[#This Row],[Data]], vendas[Lucro Bruto])</f>
        <v>0</v>
      </c>
      <c r="I50" s="37">
        <f>SUMIF(vendas[data], Tabela19[[#This Row],[Data]], vendas[Lucro Líquido])</f>
        <v>0</v>
      </c>
      <c r="J50" s="38">
        <f>SUM($F$5:$F50) - SUM($G$5:$G50)</f>
        <v>0</v>
      </c>
      <c r="K50" s="38">
        <f>SUM($H$5:$H50) - SUM($G$5:$G50)</f>
        <v>0</v>
      </c>
      <c r="L50" s="38">
        <f>SUM($I$5:$I50) - SUM($G$5:$G50)</f>
        <v>0</v>
      </c>
      <c r="M50" s="9">
        <f>SUM($F$5:$F50) - SUM($H$5:$H50)</f>
        <v>0</v>
      </c>
      <c r="N50" s="9">
        <f>SUM($H$5:$H50) - SUM($I$5:$I50)</f>
        <v>0</v>
      </c>
      <c r="O50" s="38">
        <f>Tabela19[Faturamento] + SUM($C$5:$C50) - SUM($D$5:$D50)</f>
        <v>-681.30999999999972</v>
      </c>
    </row>
    <row r="51" spans="2:15">
      <c r="B51" s="31">
        <v>46153</v>
      </c>
      <c r="C51" s="28"/>
      <c r="D51" s="9"/>
      <c r="E51" s="44">
        <f>SUMIF(vendas[data], Tabela19[[#This Row],[Data]], vendas[Qtd.])</f>
        <v>0</v>
      </c>
      <c r="F51" s="37">
        <f>SUMIF(vendas[data], Tabela19[[#This Row],[Data]], vendas[Recebimento])</f>
        <v>0</v>
      </c>
      <c r="G51" s="23">
        <f>SUMIF(compras[Data], Tabela19[[#This Row],[Data]], compras[Valor])</f>
        <v>0</v>
      </c>
      <c r="H51" s="37">
        <f>SUMIF(vendas[data], Tabela19[[#This Row],[Data]], vendas[Lucro Bruto])</f>
        <v>0</v>
      </c>
      <c r="I51" s="37">
        <f>SUMIF(vendas[data], Tabela19[[#This Row],[Data]], vendas[Lucro Líquido])</f>
        <v>0</v>
      </c>
      <c r="J51" s="38">
        <f>SUM($F$5:$F51) - SUM($G$5:$G51)</f>
        <v>0</v>
      </c>
      <c r="K51" s="38">
        <f>SUM($H$5:$H51) - SUM($G$5:$G51)</f>
        <v>0</v>
      </c>
      <c r="L51" s="38">
        <f>SUM($I$5:$I51) - SUM($G$5:$G51)</f>
        <v>0</v>
      </c>
      <c r="M51" s="9">
        <f>SUM($F$5:$F51) - SUM($H$5:$H51)</f>
        <v>0</v>
      </c>
      <c r="N51" s="9">
        <f>SUM($H$5:$H51) - SUM($I$5:$I51)</f>
        <v>0</v>
      </c>
      <c r="O51" s="38">
        <f>Tabela19[Faturamento] + SUM($C$5:$C51) - SUM($D$5:$D51)</f>
        <v>-681.30999999999972</v>
      </c>
    </row>
    <row r="52" spans="2:15">
      <c r="B52" s="31">
        <v>46154</v>
      </c>
      <c r="C52" s="28"/>
      <c r="D52" s="9"/>
      <c r="E52" s="44">
        <f>SUMIF(vendas[data], Tabela19[[#This Row],[Data]], vendas[Qtd.])</f>
        <v>0</v>
      </c>
      <c r="F52" s="37">
        <f>SUMIF(vendas[data], Tabela19[[#This Row],[Data]], vendas[Recebimento])</f>
        <v>0</v>
      </c>
      <c r="G52" s="23">
        <f>SUMIF(compras[Data], Tabela19[[#This Row],[Data]], compras[Valor])</f>
        <v>0</v>
      </c>
      <c r="H52" s="37">
        <f>SUMIF(vendas[data], Tabela19[[#This Row],[Data]], vendas[Lucro Bruto])</f>
        <v>0</v>
      </c>
      <c r="I52" s="37">
        <f>SUMIF(vendas[data], Tabela19[[#This Row],[Data]], vendas[Lucro Líquido])</f>
        <v>0</v>
      </c>
      <c r="J52" s="38">
        <f>SUM($F$5:$F52) - SUM($G$5:$G52)</f>
        <v>0</v>
      </c>
      <c r="K52" s="38">
        <f>SUM($H$5:$H52) - SUM($G$5:$G52)</f>
        <v>0</v>
      </c>
      <c r="L52" s="38">
        <f>SUM($I$5:$I52) - SUM($G$5:$G52)</f>
        <v>0</v>
      </c>
      <c r="M52" s="9">
        <f>SUM($F$5:$F52) - SUM($H$5:$H52)</f>
        <v>0</v>
      </c>
      <c r="N52" s="9">
        <f>SUM($H$5:$H52) - SUM($I$5:$I52)</f>
        <v>0</v>
      </c>
      <c r="O52" s="38">
        <f>Tabela19[Faturamento] + SUM($C$5:$C52) - SUM($D$5:$D52)</f>
        <v>-681.30999999999972</v>
      </c>
    </row>
    <row r="53" spans="2:15">
      <c r="B53" s="31">
        <v>46155</v>
      </c>
      <c r="C53" s="28"/>
      <c r="D53" s="9"/>
      <c r="E53" s="44">
        <f>SUMIF(vendas[data], Tabela19[[#This Row],[Data]], vendas[Qtd.])</f>
        <v>0</v>
      </c>
      <c r="F53" s="37">
        <f>SUMIF(vendas[data], Tabela19[[#This Row],[Data]], vendas[Recebimento])</f>
        <v>0</v>
      </c>
      <c r="G53" s="23">
        <f>SUMIF(compras[Data], Tabela19[[#This Row],[Data]], compras[Valor])</f>
        <v>0</v>
      </c>
      <c r="H53" s="37">
        <f>SUMIF(vendas[data], Tabela19[[#This Row],[Data]], vendas[Lucro Bruto])</f>
        <v>0</v>
      </c>
      <c r="I53" s="37">
        <f>SUMIF(vendas[data], Tabela19[[#This Row],[Data]], vendas[Lucro Líquido])</f>
        <v>0</v>
      </c>
      <c r="J53" s="38">
        <f>SUM($F$5:$F53) - SUM($G$5:$G53)</f>
        <v>0</v>
      </c>
      <c r="K53" s="38">
        <f>SUM($H$5:$H53) - SUM($G$5:$G53)</f>
        <v>0</v>
      </c>
      <c r="L53" s="38">
        <f>SUM($I$5:$I53) - SUM($G$5:$G53)</f>
        <v>0</v>
      </c>
      <c r="M53" s="9">
        <f>SUM($F$5:$F53) - SUM($H$5:$H53)</f>
        <v>0</v>
      </c>
      <c r="N53" s="9">
        <f>SUM($H$5:$H53) - SUM($I$5:$I53)</f>
        <v>0</v>
      </c>
      <c r="O53" s="38">
        <f>Tabela19[Faturamento] + SUM($C$5:$C53) - SUM($D$5:$D53)</f>
        <v>-681.30999999999972</v>
      </c>
    </row>
    <row r="54" spans="2:15">
      <c r="B54" s="31">
        <v>46156</v>
      </c>
      <c r="C54" s="28"/>
      <c r="D54" s="9"/>
      <c r="E54" s="44">
        <f>SUMIF(vendas[data], Tabela19[[#This Row],[Data]], vendas[Qtd.])</f>
        <v>0</v>
      </c>
      <c r="F54" s="37">
        <f>SUMIF(vendas[data], Tabela19[[#This Row],[Data]], vendas[Recebimento])</f>
        <v>0</v>
      </c>
      <c r="G54" s="23">
        <f>SUMIF(compras[Data], Tabela19[[#This Row],[Data]], compras[Valor])</f>
        <v>0</v>
      </c>
      <c r="H54" s="37">
        <f>SUMIF(vendas[data], Tabela19[[#This Row],[Data]], vendas[Lucro Bruto])</f>
        <v>0</v>
      </c>
      <c r="I54" s="37">
        <f>SUMIF(vendas[data], Tabela19[[#This Row],[Data]], vendas[Lucro Líquido])</f>
        <v>0</v>
      </c>
      <c r="J54" s="38">
        <f>SUM($F$5:$F54) - SUM($G$5:$G54)</f>
        <v>0</v>
      </c>
      <c r="K54" s="38">
        <f>SUM($H$5:$H54) - SUM($G$5:$G54)</f>
        <v>0</v>
      </c>
      <c r="L54" s="38">
        <f>SUM($I$5:$I54) - SUM($G$5:$G54)</f>
        <v>0</v>
      </c>
      <c r="M54" s="9">
        <f>SUM($F$5:$F54) - SUM($H$5:$H54)</f>
        <v>0</v>
      </c>
      <c r="N54" s="9">
        <f>SUM($H$5:$H54) - SUM($I$5:$I54)</f>
        <v>0</v>
      </c>
      <c r="O54" s="38">
        <f>Tabela19[Faturamento] + SUM($C$5:$C54) - SUM($D$5:$D54)</f>
        <v>-681.30999999999972</v>
      </c>
    </row>
    <row r="55" spans="2:15">
      <c r="B55" s="31">
        <v>46157</v>
      </c>
      <c r="C55" s="28"/>
      <c r="D55" s="9"/>
      <c r="E55" s="44">
        <f>SUMIF(vendas[data], Tabela19[[#This Row],[Data]], vendas[Qtd.])</f>
        <v>0</v>
      </c>
      <c r="F55" s="37">
        <f>SUMIF(vendas[data], Tabela19[[#This Row],[Data]], vendas[Recebimento])</f>
        <v>0</v>
      </c>
      <c r="G55" s="23">
        <f>SUMIF(compras[Data], Tabela19[[#This Row],[Data]], compras[Valor])</f>
        <v>0</v>
      </c>
      <c r="H55" s="37">
        <f>SUMIF(vendas[data], Tabela19[[#This Row],[Data]], vendas[Lucro Bruto])</f>
        <v>0</v>
      </c>
      <c r="I55" s="37">
        <f>SUMIF(vendas[data], Tabela19[[#This Row],[Data]], vendas[Lucro Líquido])</f>
        <v>0</v>
      </c>
      <c r="J55" s="38">
        <f>SUM($F$5:$F55) - SUM($G$5:$G55)</f>
        <v>0</v>
      </c>
      <c r="K55" s="38">
        <f>SUM($H$5:$H55) - SUM($G$5:$G55)</f>
        <v>0</v>
      </c>
      <c r="L55" s="38">
        <f>SUM($I$5:$I55) - SUM($G$5:$G55)</f>
        <v>0</v>
      </c>
      <c r="M55" s="9">
        <f>SUM($F$5:$F55) - SUM($H$5:$H55)</f>
        <v>0</v>
      </c>
      <c r="N55" s="9">
        <f>SUM($H$5:$H55) - SUM($I$5:$I55)</f>
        <v>0</v>
      </c>
      <c r="O55" s="38">
        <f>Tabela19[Faturamento] + SUM($C$5:$C55) - SUM($D$5:$D55)</f>
        <v>-681.30999999999972</v>
      </c>
    </row>
    <row r="56" spans="2:15">
      <c r="B56" s="31">
        <v>46158</v>
      </c>
      <c r="C56" s="28"/>
      <c r="D56" s="9"/>
      <c r="E56" s="44">
        <f>SUMIF(vendas[data], Tabela19[[#This Row],[Data]], vendas[Qtd.])</f>
        <v>0</v>
      </c>
      <c r="F56" s="37">
        <f>SUMIF(vendas[data], Tabela19[[#This Row],[Data]], vendas[Recebimento])</f>
        <v>0</v>
      </c>
      <c r="G56" s="23">
        <f>SUMIF(compras[Data], Tabela19[[#This Row],[Data]], compras[Valor])</f>
        <v>0</v>
      </c>
      <c r="H56" s="37">
        <f>SUMIF(vendas[data], Tabela19[[#This Row],[Data]], vendas[Lucro Bruto])</f>
        <v>0</v>
      </c>
      <c r="I56" s="37">
        <f>SUMIF(vendas[data], Tabela19[[#This Row],[Data]], vendas[Lucro Líquido])</f>
        <v>0</v>
      </c>
      <c r="J56" s="38">
        <f>SUM($F$5:$F56) - SUM($G$5:$G56)</f>
        <v>0</v>
      </c>
      <c r="K56" s="38">
        <f>SUM($H$5:$H56) - SUM($G$5:$G56)</f>
        <v>0</v>
      </c>
      <c r="L56" s="38">
        <f>SUM($I$5:$I56) - SUM($G$5:$G56)</f>
        <v>0</v>
      </c>
      <c r="M56" s="9">
        <f>SUM($F$5:$F56) - SUM($H$5:$H56)</f>
        <v>0</v>
      </c>
      <c r="N56" s="9">
        <f>SUM($H$5:$H56) - SUM($I$5:$I56)</f>
        <v>0</v>
      </c>
      <c r="O56" s="38">
        <f>Tabela19[Faturamento] + SUM($C$5:$C56) - SUM($D$5:$D56)</f>
        <v>-681.30999999999972</v>
      </c>
    </row>
    <row r="57" spans="2:15">
      <c r="B57" s="31">
        <v>46159</v>
      </c>
      <c r="C57" s="28"/>
      <c r="D57" s="9"/>
      <c r="E57" s="44">
        <f>SUMIF(vendas[data], Tabela19[[#This Row],[Data]], vendas[Qtd.])</f>
        <v>0</v>
      </c>
      <c r="F57" s="37">
        <f>SUMIF(vendas[data], Tabela19[[#This Row],[Data]], vendas[Recebimento])</f>
        <v>0</v>
      </c>
      <c r="G57" s="23">
        <f>SUMIF(compras[Data], Tabela19[[#This Row],[Data]], compras[Valor])</f>
        <v>0</v>
      </c>
      <c r="H57" s="37">
        <f>SUMIF(vendas[data], Tabela19[[#This Row],[Data]], vendas[Lucro Bruto])</f>
        <v>0</v>
      </c>
      <c r="I57" s="37">
        <f>SUMIF(vendas[data], Tabela19[[#This Row],[Data]], vendas[Lucro Líquido])</f>
        <v>0</v>
      </c>
      <c r="J57" s="38">
        <f>SUM($F$5:$F57) - SUM($G$5:$G57)</f>
        <v>0</v>
      </c>
      <c r="K57" s="38">
        <f>SUM($H$5:$H57) - SUM($G$5:$G57)</f>
        <v>0</v>
      </c>
      <c r="L57" s="38">
        <f>SUM($I$5:$I57) - SUM($G$5:$G57)</f>
        <v>0</v>
      </c>
      <c r="M57" s="9">
        <f>SUM($F$5:$F57) - SUM($H$5:$H57)</f>
        <v>0</v>
      </c>
      <c r="N57" s="9">
        <f>SUM($H$5:$H57) - SUM($I$5:$I57)</f>
        <v>0</v>
      </c>
      <c r="O57" s="38">
        <f>Tabela19[Faturamento] + SUM($C$5:$C57) - SUM($D$5:$D57)</f>
        <v>-681.30999999999972</v>
      </c>
    </row>
    <row r="58" spans="2:15">
      <c r="B58" s="31">
        <v>46160</v>
      </c>
      <c r="C58" s="28"/>
      <c r="D58" s="9"/>
      <c r="E58" s="44">
        <f>SUMIF(vendas[data], Tabela19[[#This Row],[Data]], vendas[Qtd.])</f>
        <v>0</v>
      </c>
      <c r="F58" s="37">
        <f>SUMIF(vendas[data], Tabela19[[#This Row],[Data]], vendas[Recebimento])</f>
        <v>0</v>
      </c>
      <c r="G58" s="23">
        <f>SUMIF(compras[Data], Tabela19[[#This Row],[Data]], compras[Valor])</f>
        <v>0</v>
      </c>
      <c r="H58" s="37">
        <f>SUMIF(vendas[data], Tabela19[[#This Row],[Data]], vendas[Lucro Bruto])</f>
        <v>0</v>
      </c>
      <c r="I58" s="37">
        <f>SUMIF(vendas[data], Tabela19[[#This Row],[Data]], vendas[Lucro Líquido])</f>
        <v>0</v>
      </c>
      <c r="J58" s="38">
        <f>SUM($F$5:$F58) - SUM($G$5:$G58)</f>
        <v>0</v>
      </c>
      <c r="K58" s="38">
        <f>SUM($H$5:$H58) - SUM($G$5:$G58)</f>
        <v>0</v>
      </c>
      <c r="L58" s="38">
        <f>SUM($I$5:$I58) - SUM($G$5:$G58)</f>
        <v>0</v>
      </c>
      <c r="M58" s="9">
        <f>SUM($F$5:$F58) - SUM($H$5:$H58)</f>
        <v>0</v>
      </c>
      <c r="N58" s="9">
        <f>SUM($H$5:$H58) - SUM($I$5:$I58)</f>
        <v>0</v>
      </c>
      <c r="O58" s="38">
        <f>Tabela19[Faturamento] + SUM($C$5:$C58) - SUM($D$5:$D58)</f>
        <v>-681.30999999999972</v>
      </c>
    </row>
    <row r="59" spans="2:15">
      <c r="B59" s="31">
        <v>46161</v>
      </c>
      <c r="C59" s="28"/>
      <c r="D59" s="9"/>
      <c r="E59" s="44">
        <f>SUMIF(vendas[data], Tabela19[[#This Row],[Data]], vendas[Qtd.])</f>
        <v>0</v>
      </c>
      <c r="F59" s="37">
        <f>SUMIF(vendas[data], Tabela19[[#This Row],[Data]], vendas[Recebimento])</f>
        <v>0</v>
      </c>
      <c r="G59" s="23">
        <f>SUMIF(compras[Data], Tabela19[[#This Row],[Data]], compras[Valor])</f>
        <v>0</v>
      </c>
      <c r="H59" s="37">
        <f>SUMIF(vendas[data], Tabela19[[#This Row],[Data]], vendas[Lucro Bruto])</f>
        <v>0</v>
      </c>
      <c r="I59" s="37">
        <f>SUMIF(vendas[data], Tabela19[[#This Row],[Data]], vendas[Lucro Líquido])</f>
        <v>0</v>
      </c>
      <c r="J59" s="38">
        <f>SUM($F$5:$F59) - SUM($G$5:$G59)</f>
        <v>0</v>
      </c>
      <c r="K59" s="38">
        <f>SUM($H$5:$H59) - SUM($G$5:$G59)</f>
        <v>0</v>
      </c>
      <c r="L59" s="38">
        <f>SUM($I$5:$I59) - SUM($G$5:$G59)</f>
        <v>0</v>
      </c>
      <c r="M59" s="9">
        <f>SUM($F$5:$F59) - SUM($H$5:$H59)</f>
        <v>0</v>
      </c>
      <c r="N59" s="9">
        <f>SUM($H$5:$H59) - SUM($I$5:$I59)</f>
        <v>0</v>
      </c>
      <c r="O59" s="38">
        <f>Tabela19[Faturamento] + SUM($C$5:$C59) - SUM($D$5:$D59)</f>
        <v>-681.30999999999972</v>
      </c>
    </row>
    <row r="60" spans="2:15">
      <c r="B60" s="31">
        <v>46162</v>
      </c>
      <c r="C60" s="28"/>
      <c r="D60" s="9"/>
      <c r="E60" s="44">
        <f>SUMIF(vendas[data], Tabela19[[#This Row],[Data]], vendas[Qtd.])</f>
        <v>0</v>
      </c>
      <c r="F60" s="37">
        <f>SUMIF(vendas[data], Tabela19[[#This Row],[Data]], vendas[Recebimento])</f>
        <v>0</v>
      </c>
      <c r="G60" s="23">
        <f>SUMIF(compras[Data], Tabela19[[#This Row],[Data]], compras[Valor])</f>
        <v>0</v>
      </c>
      <c r="H60" s="37">
        <f>SUMIF(vendas[data], Tabela19[[#This Row],[Data]], vendas[Lucro Bruto])</f>
        <v>0</v>
      </c>
      <c r="I60" s="37">
        <f>SUMIF(vendas[data], Tabela19[[#This Row],[Data]], vendas[Lucro Líquido])</f>
        <v>0</v>
      </c>
      <c r="J60" s="38">
        <f>SUM($F$5:$F60) - SUM($G$5:$G60)</f>
        <v>0</v>
      </c>
      <c r="K60" s="38">
        <f>SUM($H$5:$H60) - SUM($G$5:$G60)</f>
        <v>0</v>
      </c>
      <c r="L60" s="38">
        <f>SUM($I$5:$I60) - SUM($G$5:$G60)</f>
        <v>0</v>
      </c>
      <c r="M60" s="9">
        <f>SUM($F$5:$F60) - SUM($H$5:$H60)</f>
        <v>0</v>
      </c>
      <c r="N60" s="9">
        <f>SUM($H$5:$H60) - SUM($I$5:$I60)</f>
        <v>0</v>
      </c>
      <c r="O60" s="38">
        <f>Tabela19[Faturamento] + SUM($C$5:$C60) - SUM($D$5:$D60)</f>
        <v>-681.30999999999972</v>
      </c>
    </row>
    <row r="61" spans="2:15">
      <c r="B61" s="31">
        <v>46163</v>
      </c>
      <c r="C61" s="28"/>
      <c r="D61" s="9"/>
      <c r="E61" s="44">
        <f>SUMIF(vendas[data], Tabela19[[#This Row],[Data]], vendas[Qtd.])</f>
        <v>0</v>
      </c>
      <c r="F61" s="37">
        <f>SUMIF(vendas[data], Tabela19[[#This Row],[Data]], vendas[Recebimento])</f>
        <v>0</v>
      </c>
      <c r="G61" s="23">
        <f>SUMIF(compras[Data], Tabela19[[#This Row],[Data]], compras[Valor])</f>
        <v>0</v>
      </c>
      <c r="H61" s="37">
        <f>SUMIF(vendas[data], Tabela19[[#This Row],[Data]], vendas[Lucro Bruto])</f>
        <v>0</v>
      </c>
      <c r="I61" s="37">
        <f>SUMIF(vendas[data], Tabela19[[#This Row],[Data]], vendas[Lucro Líquido])</f>
        <v>0</v>
      </c>
      <c r="J61" s="38">
        <f>SUM($F$5:$F61) - SUM($G$5:$G61)</f>
        <v>0</v>
      </c>
      <c r="K61" s="38">
        <f>SUM($H$5:$H61) - SUM($G$5:$G61)</f>
        <v>0</v>
      </c>
      <c r="L61" s="38">
        <f>SUM($I$5:$I61) - SUM($G$5:$G61)</f>
        <v>0</v>
      </c>
      <c r="M61" s="9">
        <f>SUM($F$5:$F61) - SUM($H$5:$H61)</f>
        <v>0</v>
      </c>
      <c r="N61" s="9">
        <f>SUM($H$5:$H61) - SUM($I$5:$I61)</f>
        <v>0</v>
      </c>
      <c r="O61" s="38">
        <f>Tabela19[Faturamento] + SUM($C$5:$C61) - SUM($D$5:$D61)</f>
        <v>-681.30999999999972</v>
      </c>
    </row>
    <row r="62" spans="2:15">
      <c r="B62" s="31">
        <v>46164</v>
      </c>
      <c r="C62" s="28"/>
      <c r="D62" s="9"/>
      <c r="E62" s="44">
        <f>SUMIF(vendas[data], Tabela19[[#This Row],[Data]], vendas[Qtd.])</f>
        <v>0</v>
      </c>
      <c r="F62" s="37">
        <f>SUMIF(vendas[data], Tabela19[[#This Row],[Data]], vendas[Recebimento])</f>
        <v>0</v>
      </c>
      <c r="G62" s="23">
        <f>SUMIF(compras[Data], Tabela19[[#This Row],[Data]], compras[Valor])</f>
        <v>0</v>
      </c>
      <c r="H62" s="37">
        <f>SUMIF(vendas[data], Tabela19[[#This Row],[Data]], vendas[Lucro Bruto])</f>
        <v>0</v>
      </c>
      <c r="I62" s="37">
        <f>SUMIF(vendas[data], Tabela19[[#This Row],[Data]], vendas[Lucro Líquido])</f>
        <v>0</v>
      </c>
      <c r="J62" s="38">
        <f>SUM($F$5:$F62) - SUM($G$5:$G62)</f>
        <v>0</v>
      </c>
      <c r="K62" s="38">
        <f>SUM($H$5:$H62) - SUM($G$5:$G62)</f>
        <v>0</v>
      </c>
      <c r="L62" s="38">
        <f>SUM($I$5:$I62) - SUM($G$5:$G62)</f>
        <v>0</v>
      </c>
      <c r="M62" s="9">
        <f>SUM($F$5:$F62) - SUM($H$5:$H62)</f>
        <v>0</v>
      </c>
      <c r="N62" s="9">
        <f>SUM($H$5:$H62) - SUM($I$5:$I62)</f>
        <v>0</v>
      </c>
      <c r="O62" s="38">
        <f>Tabela19[Faturamento] + SUM($C$5:$C62) - SUM($D$5:$D62)</f>
        <v>-681.30999999999972</v>
      </c>
    </row>
    <row r="63" spans="2:15">
      <c r="B63" s="31">
        <v>46165</v>
      </c>
      <c r="C63" s="28"/>
      <c r="D63" s="9"/>
      <c r="E63" s="44">
        <f>SUMIF(vendas[data], Tabela19[[#This Row],[Data]], vendas[Qtd.])</f>
        <v>0</v>
      </c>
      <c r="F63" s="37">
        <f>SUMIF(vendas[data], Tabela19[[#This Row],[Data]], vendas[Recebimento])</f>
        <v>0</v>
      </c>
      <c r="G63" s="23">
        <f>SUMIF(compras[Data], Tabela19[[#This Row],[Data]], compras[Valor])</f>
        <v>0</v>
      </c>
      <c r="H63" s="37">
        <f>SUMIF(vendas[data], Tabela19[[#This Row],[Data]], vendas[Lucro Bruto])</f>
        <v>0</v>
      </c>
      <c r="I63" s="37">
        <f>SUMIF(vendas[data], Tabela19[[#This Row],[Data]], vendas[Lucro Líquido])</f>
        <v>0</v>
      </c>
      <c r="J63" s="38">
        <f>SUM($F$5:$F63) - SUM($G$5:$G63)</f>
        <v>0</v>
      </c>
      <c r="K63" s="38">
        <f>SUM($H$5:$H63) - SUM($G$5:$G63)</f>
        <v>0</v>
      </c>
      <c r="L63" s="38">
        <f>SUM($I$5:$I63) - SUM($G$5:$G63)</f>
        <v>0</v>
      </c>
      <c r="M63" s="9">
        <f>SUM($F$5:$F63) - SUM($H$5:$H63)</f>
        <v>0</v>
      </c>
      <c r="N63" s="9">
        <f>SUM($H$5:$H63) - SUM($I$5:$I63)</f>
        <v>0</v>
      </c>
      <c r="O63" s="38">
        <f>Tabela19[Faturamento] + SUM($C$5:$C63) - SUM($D$5:$D63)</f>
        <v>-681.30999999999972</v>
      </c>
    </row>
    <row r="64" spans="2:15">
      <c r="B64" s="31">
        <v>46166</v>
      </c>
      <c r="C64" s="28"/>
      <c r="D64" s="9"/>
      <c r="E64" s="44">
        <f>SUMIF(vendas[data], Tabela19[[#This Row],[Data]], vendas[Qtd.])</f>
        <v>0</v>
      </c>
      <c r="F64" s="37">
        <f>SUMIF(vendas[data], Tabela19[[#This Row],[Data]], vendas[Recebimento])</f>
        <v>0</v>
      </c>
      <c r="G64" s="23">
        <f>SUMIF(compras[Data], Tabela19[[#This Row],[Data]], compras[Valor])</f>
        <v>0</v>
      </c>
      <c r="H64" s="37">
        <f>SUMIF(vendas[data], Tabela19[[#This Row],[Data]], vendas[Lucro Bruto])</f>
        <v>0</v>
      </c>
      <c r="I64" s="37">
        <f>SUMIF(vendas[data], Tabela19[[#This Row],[Data]], vendas[Lucro Líquido])</f>
        <v>0</v>
      </c>
      <c r="J64" s="38">
        <f>SUM($F$5:$F64) - SUM($G$5:$G64)</f>
        <v>0</v>
      </c>
      <c r="K64" s="38">
        <f>SUM($H$5:$H64) - SUM($G$5:$G64)</f>
        <v>0</v>
      </c>
      <c r="L64" s="38">
        <f>SUM($I$5:$I64) - SUM($G$5:$G64)</f>
        <v>0</v>
      </c>
      <c r="M64" s="9">
        <f>SUM($F$5:$F64) - SUM($H$5:$H64)</f>
        <v>0</v>
      </c>
      <c r="N64" s="9">
        <f>SUM($H$5:$H64) - SUM($I$5:$I64)</f>
        <v>0</v>
      </c>
      <c r="O64" s="38">
        <f>Tabela19[Faturamento] + SUM($C$5:$C64) - SUM($D$5:$D64)</f>
        <v>-681.30999999999972</v>
      </c>
    </row>
    <row r="65" spans="2:15">
      <c r="B65" s="31">
        <v>46167</v>
      </c>
      <c r="C65" s="28"/>
      <c r="D65" s="9"/>
      <c r="E65" s="44">
        <f>SUMIF(vendas[data], Tabela19[[#This Row],[Data]], vendas[Qtd.])</f>
        <v>0</v>
      </c>
      <c r="F65" s="37">
        <f>SUMIF(vendas[data], Tabela19[[#This Row],[Data]], vendas[Recebimento])</f>
        <v>0</v>
      </c>
      <c r="G65" s="23">
        <f>SUMIF(compras[Data], Tabela19[[#This Row],[Data]], compras[Valor])</f>
        <v>0</v>
      </c>
      <c r="H65" s="37">
        <f>SUMIF(vendas[data], Tabela19[[#This Row],[Data]], vendas[Lucro Bruto])</f>
        <v>0</v>
      </c>
      <c r="I65" s="37">
        <f>SUMIF(vendas[data], Tabela19[[#This Row],[Data]], vendas[Lucro Líquido])</f>
        <v>0</v>
      </c>
      <c r="J65" s="38">
        <f>SUM($F$5:$F65) - SUM($G$5:$G65)</f>
        <v>0</v>
      </c>
      <c r="K65" s="38">
        <f>SUM($H$5:$H65) - SUM($G$5:$G65)</f>
        <v>0</v>
      </c>
      <c r="L65" s="38">
        <f>SUM($I$5:$I65) - SUM($G$5:$G65)</f>
        <v>0</v>
      </c>
      <c r="M65" s="9">
        <f>SUM($F$5:$F65) - SUM($H$5:$H65)</f>
        <v>0</v>
      </c>
      <c r="N65" s="9">
        <f>SUM($H$5:$H65) - SUM($I$5:$I65)</f>
        <v>0</v>
      </c>
      <c r="O65" s="38">
        <f>Tabela19[Faturamento] + SUM($C$5:$C65) - SUM($D$5:$D65)</f>
        <v>-681.30999999999972</v>
      </c>
    </row>
    <row r="66" spans="2:15">
      <c r="B66" s="31">
        <v>46168</v>
      </c>
      <c r="C66" s="28"/>
      <c r="D66" s="9"/>
      <c r="E66" s="44">
        <f>SUMIF(vendas[data], Tabela19[[#This Row],[Data]], vendas[Qtd.])</f>
        <v>0</v>
      </c>
      <c r="F66" s="37">
        <f>SUMIF(vendas[data], Tabela19[[#This Row],[Data]], vendas[Recebimento])</f>
        <v>0</v>
      </c>
      <c r="G66" s="23">
        <f>SUMIF(compras[Data], Tabela19[[#This Row],[Data]], compras[Valor])</f>
        <v>0</v>
      </c>
      <c r="H66" s="37">
        <f>SUMIF(vendas[data], Tabela19[[#This Row],[Data]], vendas[Lucro Bruto])</f>
        <v>0</v>
      </c>
      <c r="I66" s="37">
        <f>SUMIF(vendas[data], Tabela19[[#This Row],[Data]], vendas[Lucro Líquido])</f>
        <v>0</v>
      </c>
      <c r="J66" s="38">
        <f>SUM($F$5:$F66) - SUM($G$5:$G66)</f>
        <v>0</v>
      </c>
      <c r="K66" s="38">
        <f>SUM($H$5:$H66) - SUM($G$5:$G66)</f>
        <v>0</v>
      </c>
      <c r="L66" s="38">
        <f>SUM($I$5:$I66) - SUM($G$5:$G66)</f>
        <v>0</v>
      </c>
      <c r="M66" s="9">
        <f>SUM($F$5:$F66) - SUM($H$5:$H66)</f>
        <v>0</v>
      </c>
      <c r="N66" s="9">
        <f>SUM($H$5:$H66) - SUM($I$5:$I66)</f>
        <v>0</v>
      </c>
      <c r="O66" s="38">
        <f>Tabela19[Faturamento] + SUM($C$5:$C66) - SUM($D$5:$D66)</f>
        <v>-681.30999999999972</v>
      </c>
    </row>
    <row r="67" spans="2:15">
      <c r="B67" s="31">
        <v>46169</v>
      </c>
      <c r="C67" s="28"/>
      <c r="D67" s="9"/>
      <c r="E67" s="44">
        <f>SUMIF(vendas[data], Tabela19[[#This Row],[Data]], vendas[Qtd.])</f>
        <v>0</v>
      </c>
      <c r="F67" s="37">
        <f>SUMIF(vendas[data], Tabela19[[#This Row],[Data]], vendas[Recebimento])</f>
        <v>0</v>
      </c>
      <c r="G67" s="23">
        <f>SUMIF(compras[Data], Tabela19[[#This Row],[Data]], compras[Valor])</f>
        <v>0</v>
      </c>
      <c r="H67" s="37">
        <f>SUMIF(vendas[data], Tabela19[[#This Row],[Data]], vendas[Lucro Bruto])</f>
        <v>0</v>
      </c>
      <c r="I67" s="37">
        <f>SUMIF(vendas[data], Tabela19[[#This Row],[Data]], vendas[Lucro Líquido])</f>
        <v>0</v>
      </c>
      <c r="J67" s="38">
        <f>SUM($F$5:$F67) - SUM($G$5:$G67)</f>
        <v>0</v>
      </c>
      <c r="K67" s="38">
        <f>SUM($H$5:$H67) - SUM($G$5:$G67)</f>
        <v>0</v>
      </c>
      <c r="L67" s="38">
        <f>SUM($I$5:$I67) - SUM($G$5:$G67)</f>
        <v>0</v>
      </c>
      <c r="M67" s="9">
        <f>SUM($F$5:$F67) - SUM($H$5:$H67)</f>
        <v>0</v>
      </c>
      <c r="N67" s="9">
        <f>SUM($H$5:$H67) - SUM($I$5:$I67)</f>
        <v>0</v>
      </c>
      <c r="O67" s="38">
        <f>Tabela19[Faturamento] + SUM($C$5:$C67) - SUM($D$5:$D67)</f>
        <v>-681.30999999999972</v>
      </c>
    </row>
    <row r="68" spans="2:15">
      <c r="B68" s="31">
        <v>46170</v>
      </c>
      <c r="C68" s="28"/>
      <c r="D68" s="9"/>
      <c r="E68" s="44">
        <f>SUMIF(vendas[data], Tabela19[[#This Row],[Data]], vendas[Qtd.])</f>
        <v>0</v>
      </c>
      <c r="F68" s="37">
        <f>SUMIF(vendas[data], Tabela19[[#This Row],[Data]], vendas[Recebimento])</f>
        <v>0</v>
      </c>
      <c r="G68" s="23">
        <f>SUMIF(compras[Data], Tabela19[[#This Row],[Data]], compras[Valor])</f>
        <v>0</v>
      </c>
      <c r="H68" s="37">
        <f>SUMIF(vendas[data], Tabela19[[#This Row],[Data]], vendas[Lucro Bruto])</f>
        <v>0</v>
      </c>
      <c r="I68" s="37">
        <f>SUMIF(vendas[data], Tabela19[[#This Row],[Data]], vendas[Lucro Líquido])</f>
        <v>0</v>
      </c>
      <c r="J68" s="38">
        <f>SUM($F$5:$F68) - SUM($G$5:$G68)</f>
        <v>0</v>
      </c>
      <c r="K68" s="38">
        <f>SUM($H$5:$H68) - SUM($G$5:$G68)</f>
        <v>0</v>
      </c>
      <c r="L68" s="38">
        <f>SUM($I$5:$I68) - SUM($G$5:$G68)</f>
        <v>0</v>
      </c>
      <c r="M68" s="9">
        <f>SUM($F$5:$F68) - SUM($H$5:$H68)</f>
        <v>0</v>
      </c>
      <c r="N68" s="9">
        <f>SUM($H$5:$H68) - SUM($I$5:$I68)</f>
        <v>0</v>
      </c>
      <c r="O68" s="38">
        <f>Tabela19[Faturamento] + SUM($C$5:$C68) - SUM($D$5:$D68)</f>
        <v>-681.30999999999972</v>
      </c>
    </row>
    <row r="69" spans="2:15">
      <c r="B69" s="31">
        <v>46171</v>
      </c>
      <c r="C69" s="28"/>
      <c r="D69" s="9"/>
      <c r="E69" s="44">
        <f>SUMIF(vendas[data], Tabela19[[#This Row],[Data]], vendas[Qtd.])</f>
        <v>0</v>
      </c>
      <c r="F69" s="37">
        <f>SUMIF(vendas[data], Tabela19[[#This Row],[Data]], vendas[Recebimento])</f>
        <v>0</v>
      </c>
      <c r="G69" s="23">
        <f>SUMIF(compras[Data], Tabela19[[#This Row],[Data]], compras[Valor])</f>
        <v>0</v>
      </c>
      <c r="H69" s="37">
        <f>SUMIF(vendas[data], Tabela19[[#This Row],[Data]], vendas[Lucro Bruto])</f>
        <v>0</v>
      </c>
      <c r="I69" s="37">
        <f>SUMIF(vendas[data], Tabela19[[#This Row],[Data]], vendas[Lucro Líquido])</f>
        <v>0</v>
      </c>
      <c r="J69" s="38">
        <f>SUM($F$5:$F69) - SUM($G$5:$G69)</f>
        <v>0</v>
      </c>
      <c r="K69" s="38">
        <f>SUM($H$5:$H69) - SUM($G$5:$G69)</f>
        <v>0</v>
      </c>
      <c r="L69" s="38">
        <f>SUM($I$5:$I69) - SUM($G$5:$G69)</f>
        <v>0</v>
      </c>
      <c r="M69" s="9">
        <f>SUM($F$5:$F69) - SUM($H$5:$H69)</f>
        <v>0</v>
      </c>
      <c r="N69" s="9">
        <f>SUM($H$5:$H69) - SUM($I$5:$I69)</f>
        <v>0</v>
      </c>
      <c r="O69" s="38">
        <f>Tabela19[Faturamento] + SUM($C$5:$C69) - SUM($D$5:$D69)</f>
        <v>-681.30999999999972</v>
      </c>
    </row>
    <row r="70" spans="2:15">
      <c r="B70" s="31">
        <v>46172</v>
      </c>
      <c r="C70" s="28"/>
      <c r="D70" s="9"/>
      <c r="E70" s="44">
        <f>SUMIF(vendas[data], Tabela19[[#This Row],[Data]], vendas[Qtd.])</f>
        <v>0</v>
      </c>
      <c r="F70" s="37">
        <f>SUMIF(vendas[data], Tabela19[[#This Row],[Data]], vendas[Recebimento])</f>
        <v>0</v>
      </c>
      <c r="G70" s="23">
        <f>SUMIF(compras[Data], Tabela19[[#This Row],[Data]], compras[Valor])</f>
        <v>0</v>
      </c>
      <c r="H70" s="37">
        <f>SUMIF(vendas[data], Tabela19[[#This Row],[Data]], vendas[Lucro Bruto])</f>
        <v>0</v>
      </c>
      <c r="I70" s="37">
        <f>SUMIF(vendas[data], Tabela19[[#This Row],[Data]], vendas[Lucro Líquido])</f>
        <v>0</v>
      </c>
      <c r="J70" s="38">
        <f>SUM($F$5:$F70) - SUM($G$5:$G70)</f>
        <v>0</v>
      </c>
      <c r="K70" s="38">
        <f>SUM($H$5:$H70) - SUM($G$5:$G70)</f>
        <v>0</v>
      </c>
      <c r="L70" s="38">
        <f>SUM($I$5:$I70) - SUM($G$5:$G70)</f>
        <v>0</v>
      </c>
      <c r="M70" s="9">
        <f>SUM($F$5:$F70) - SUM($H$5:$H70)</f>
        <v>0</v>
      </c>
      <c r="N70" s="9">
        <f>SUM($H$5:$H70) - SUM($I$5:$I70)</f>
        <v>0</v>
      </c>
      <c r="O70" s="38">
        <f>Tabela19[Faturamento] + SUM($C$5:$C70) - SUM($D$5:$D70)</f>
        <v>-681.30999999999972</v>
      </c>
    </row>
    <row r="71" spans="2:15">
      <c r="B71" s="31">
        <v>46173</v>
      </c>
      <c r="C71" s="28"/>
      <c r="D71" s="9"/>
      <c r="E71" s="44">
        <f>SUMIF(vendas[data], Tabela19[[#This Row],[Data]], vendas[Qtd.])</f>
        <v>0</v>
      </c>
      <c r="F71" s="37">
        <f>SUMIF(vendas[data], Tabela19[[#This Row],[Data]], vendas[Recebimento])</f>
        <v>0</v>
      </c>
      <c r="G71" s="23">
        <f>SUMIF(compras[Data], Tabela19[[#This Row],[Data]], compras[Valor])</f>
        <v>0</v>
      </c>
      <c r="H71" s="37">
        <f>SUMIF(vendas[data], Tabela19[[#This Row],[Data]], vendas[Lucro Bruto])</f>
        <v>0</v>
      </c>
      <c r="I71" s="37">
        <f>SUMIF(vendas[data], Tabela19[[#This Row],[Data]], vendas[Lucro Líquido])</f>
        <v>0</v>
      </c>
      <c r="J71" s="38">
        <f>SUM($F$5:$F71) - SUM($G$5:$G71)</f>
        <v>0</v>
      </c>
      <c r="K71" s="38">
        <f>SUM($H$5:$H71) - SUM($G$5:$G71)</f>
        <v>0</v>
      </c>
      <c r="L71" s="38">
        <f>SUM($I$5:$I71) - SUM($G$5:$G71)</f>
        <v>0</v>
      </c>
      <c r="M71" s="9">
        <f>SUM($F$5:$F71) - SUM($H$5:$H71)</f>
        <v>0</v>
      </c>
      <c r="N71" s="9">
        <f>SUM($H$5:$H71) - SUM($I$5:$I71)</f>
        <v>0</v>
      </c>
      <c r="O71" s="38">
        <f>Tabela19[Faturamento] + SUM($C$5:$C71) - SUM($D$5:$D71)</f>
        <v>-681.30999999999972</v>
      </c>
    </row>
    <row r="72" spans="2:15">
      <c r="B72" s="31">
        <v>46174</v>
      </c>
      <c r="C72" s="28"/>
      <c r="D72" s="9"/>
      <c r="E72" s="44">
        <f>SUMIF(vendas[data], Tabela19[[#This Row],[Data]], vendas[Qtd.])</f>
        <v>0</v>
      </c>
      <c r="F72" s="37">
        <f>SUMIF(vendas[data], Tabela19[[#This Row],[Data]], vendas[Recebimento])</f>
        <v>0</v>
      </c>
      <c r="G72" s="23">
        <f>SUMIF(compras[Data], Tabela19[[#This Row],[Data]], compras[Valor])</f>
        <v>0</v>
      </c>
      <c r="H72" s="37">
        <f>SUMIF(vendas[data], Tabela19[[#This Row],[Data]], vendas[Lucro Bruto])</f>
        <v>0</v>
      </c>
      <c r="I72" s="37">
        <f>SUMIF(vendas[data], Tabela19[[#This Row],[Data]], vendas[Lucro Líquido])</f>
        <v>0</v>
      </c>
      <c r="J72" s="38">
        <f>SUM($F$5:$F72) - SUM($G$5:$G72)</f>
        <v>0</v>
      </c>
      <c r="K72" s="38">
        <f>SUM($H$5:$H72) - SUM($G$5:$G72)</f>
        <v>0</v>
      </c>
      <c r="L72" s="38">
        <f>SUM($I$5:$I72) - SUM($G$5:$G72)</f>
        <v>0</v>
      </c>
      <c r="M72" s="9">
        <f>SUM($F$5:$F72) - SUM($H$5:$H72)</f>
        <v>0</v>
      </c>
      <c r="N72" s="9">
        <f>SUM($H$5:$H72) - SUM($I$5:$I72)</f>
        <v>0</v>
      </c>
      <c r="O72" s="38">
        <f>Tabela19[Faturamento] + SUM($C$5:$C72) - SUM($D$5:$D72)</f>
        <v>-681.30999999999972</v>
      </c>
    </row>
    <row r="73" spans="2:15">
      <c r="B73" s="31">
        <v>46175</v>
      </c>
      <c r="C73" s="28"/>
      <c r="D73" s="9"/>
      <c r="E73" s="44">
        <f>SUMIF(vendas[data], Tabela19[[#This Row],[Data]], vendas[Qtd.])</f>
        <v>0</v>
      </c>
      <c r="F73" s="37">
        <f>SUMIF(vendas[data], Tabela19[[#This Row],[Data]], vendas[Recebimento])</f>
        <v>0</v>
      </c>
      <c r="G73" s="23">
        <f>SUMIF(compras[Data], Tabela19[[#This Row],[Data]], compras[Valor])</f>
        <v>0</v>
      </c>
      <c r="H73" s="37">
        <f>SUMIF(vendas[data], Tabela19[[#This Row],[Data]], vendas[Lucro Bruto])</f>
        <v>0</v>
      </c>
      <c r="I73" s="37">
        <f>SUMIF(vendas[data], Tabela19[[#This Row],[Data]], vendas[Lucro Líquido])</f>
        <v>0</v>
      </c>
      <c r="J73" s="38">
        <f>SUM($F$5:$F73) - SUM($G$5:$G73)</f>
        <v>0</v>
      </c>
      <c r="K73" s="38">
        <f>SUM($H$5:$H73) - SUM($G$5:$G73)</f>
        <v>0</v>
      </c>
      <c r="L73" s="38">
        <f>SUM($I$5:$I73) - SUM($G$5:$G73)</f>
        <v>0</v>
      </c>
      <c r="M73" s="9">
        <f>SUM($F$5:$F73) - SUM($H$5:$H73)</f>
        <v>0</v>
      </c>
      <c r="N73" s="9">
        <f>SUM($H$5:$H73) - SUM($I$5:$I73)</f>
        <v>0</v>
      </c>
      <c r="O73" s="38">
        <f>Tabela19[Faturamento] + SUM($C$5:$C73) - SUM($D$5:$D73)</f>
        <v>-681.30999999999972</v>
      </c>
    </row>
    <row r="74" spans="2:15">
      <c r="B74" s="31">
        <v>46176</v>
      </c>
      <c r="C74" s="28"/>
      <c r="D74" s="9"/>
      <c r="E74" s="44">
        <f>SUMIF(vendas[data], Tabela19[[#This Row],[Data]], vendas[Qtd.])</f>
        <v>0</v>
      </c>
      <c r="F74" s="37">
        <f>SUMIF(vendas[data], Tabela19[[#This Row],[Data]], vendas[Recebimento])</f>
        <v>0</v>
      </c>
      <c r="G74" s="23">
        <f>SUMIF(compras[Data], Tabela19[[#This Row],[Data]], compras[Valor])</f>
        <v>0</v>
      </c>
      <c r="H74" s="37">
        <f>SUMIF(vendas[data], Tabela19[[#This Row],[Data]], vendas[Lucro Bruto])</f>
        <v>0</v>
      </c>
      <c r="I74" s="37">
        <f>SUMIF(vendas[data], Tabela19[[#This Row],[Data]], vendas[Lucro Líquido])</f>
        <v>0</v>
      </c>
      <c r="J74" s="38">
        <f>SUM($F$5:$F74) - SUM($G$5:$G74)</f>
        <v>0</v>
      </c>
      <c r="K74" s="38">
        <f>SUM($H$5:$H74) - SUM($G$5:$G74)</f>
        <v>0</v>
      </c>
      <c r="L74" s="38">
        <f>SUM($I$5:$I74) - SUM($G$5:$G74)</f>
        <v>0</v>
      </c>
      <c r="M74" s="9">
        <f>SUM($F$5:$F74) - SUM($H$5:$H74)</f>
        <v>0</v>
      </c>
      <c r="N74" s="9">
        <f>SUM($H$5:$H74) - SUM($I$5:$I74)</f>
        <v>0</v>
      </c>
      <c r="O74" s="38">
        <f>Tabela19[Faturamento] + SUM($C$5:$C74) - SUM($D$5:$D74)</f>
        <v>-681.30999999999972</v>
      </c>
    </row>
    <row r="75" spans="2:15">
      <c r="B75" s="31">
        <v>46177</v>
      </c>
      <c r="C75" s="28"/>
      <c r="D75" s="9"/>
      <c r="E75" s="44">
        <f>SUMIF(vendas[data], Tabela19[[#This Row],[Data]], vendas[Qtd.])</f>
        <v>0</v>
      </c>
      <c r="F75" s="37">
        <f>SUMIF(vendas[data], Tabela19[[#This Row],[Data]], vendas[Recebimento])</f>
        <v>0</v>
      </c>
      <c r="G75" s="23">
        <f>SUMIF(compras[Data], Tabela19[[#This Row],[Data]], compras[Valor])</f>
        <v>0</v>
      </c>
      <c r="H75" s="37">
        <f>SUMIF(vendas[data], Tabela19[[#This Row],[Data]], vendas[Lucro Bruto])</f>
        <v>0</v>
      </c>
      <c r="I75" s="37">
        <f>SUMIF(vendas[data], Tabela19[[#This Row],[Data]], vendas[Lucro Líquido])</f>
        <v>0</v>
      </c>
      <c r="J75" s="38">
        <f>SUM($F$5:$F75) - SUM($G$5:$G75)</f>
        <v>0</v>
      </c>
      <c r="K75" s="38">
        <f>SUM($H$5:$H75) - SUM($G$5:$G75)</f>
        <v>0</v>
      </c>
      <c r="L75" s="38">
        <f>SUM($I$5:$I75) - SUM($G$5:$G75)</f>
        <v>0</v>
      </c>
      <c r="M75" s="9">
        <f>SUM($F$5:$F75) - SUM($H$5:$H75)</f>
        <v>0</v>
      </c>
      <c r="N75" s="9">
        <f>SUM($H$5:$H75) - SUM($I$5:$I75)</f>
        <v>0</v>
      </c>
      <c r="O75" s="38">
        <f>Tabela19[Faturamento] + SUM($C$5:$C75) - SUM($D$5:$D75)</f>
        <v>-681.30999999999972</v>
      </c>
    </row>
    <row r="76" spans="2:15">
      <c r="B76" s="31">
        <v>46178</v>
      </c>
      <c r="C76" s="28"/>
      <c r="D76" s="9"/>
      <c r="E76" s="44">
        <f>SUMIF(vendas[data], Tabela19[[#This Row],[Data]], vendas[Qtd.])</f>
        <v>0</v>
      </c>
      <c r="F76" s="37">
        <f>SUMIF(vendas[data], Tabela19[[#This Row],[Data]], vendas[Recebimento])</f>
        <v>0</v>
      </c>
      <c r="G76" s="23">
        <f>SUMIF(compras[Data], Tabela19[[#This Row],[Data]], compras[Valor])</f>
        <v>0</v>
      </c>
      <c r="H76" s="37">
        <f>SUMIF(vendas[data], Tabela19[[#This Row],[Data]], vendas[Lucro Bruto])</f>
        <v>0</v>
      </c>
      <c r="I76" s="37">
        <f>SUMIF(vendas[data], Tabela19[[#This Row],[Data]], vendas[Lucro Líquido])</f>
        <v>0</v>
      </c>
      <c r="J76" s="38">
        <f>SUM($F$5:$F76) - SUM($G$5:$G76)</f>
        <v>0</v>
      </c>
      <c r="K76" s="38">
        <f>SUM($H$5:$H76) - SUM($G$5:$G76)</f>
        <v>0</v>
      </c>
      <c r="L76" s="38">
        <f>SUM($I$5:$I76) - SUM($G$5:$G76)</f>
        <v>0</v>
      </c>
      <c r="M76" s="9">
        <f>SUM($F$5:$F76) - SUM($H$5:$H76)</f>
        <v>0</v>
      </c>
      <c r="N76" s="9">
        <f>SUM($H$5:$H76) - SUM($I$5:$I76)</f>
        <v>0</v>
      </c>
      <c r="O76" s="38">
        <f>Tabela19[Faturamento] + SUM($C$5:$C76) - SUM($D$5:$D76)</f>
        <v>-681.30999999999972</v>
      </c>
    </row>
    <row r="77" spans="2:15">
      <c r="B77" s="31">
        <v>46179</v>
      </c>
      <c r="C77" s="28"/>
      <c r="D77" s="9"/>
      <c r="E77" s="44">
        <f>SUMIF(vendas[data], Tabela19[[#This Row],[Data]], vendas[Qtd.])</f>
        <v>0</v>
      </c>
      <c r="F77" s="37">
        <f>SUMIF(vendas[data], Tabela19[[#This Row],[Data]], vendas[Recebimento])</f>
        <v>0</v>
      </c>
      <c r="G77" s="23">
        <f>SUMIF(compras[Data], Tabela19[[#This Row],[Data]], compras[Valor])</f>
        <v>0</v>
      </c>
      <c r="H77" s="37">
        <f>SUMIF(vendas[data], Tabela19[[#This Row],[Data]], vendas[Lucro Bruto])</f>
        <v>0</v>
      </c>
      <c r="I77" s="37">
        <f>SUMIF(vendas[data], Tabela19[[#This Row],[Data]], vendas[Lucro Líquido])</f>
        <v>0</v>
      </c>
      <c r="J77" s="38">
        <f>SUM($F$5:$F77) - SUM($G$5:$G77)</f>
        <v>0</v>
      </c>
      <c r="K77" s="38">
        <f>SUM($H$5:$H77) - SUM($G$5:$G77)</f>
        <v>0</v>
      </c>
      <c r="L77" s="38">
        <f>SUM($I$5:$I77) - SUM($G$5:$G77)</f>
        <v>0</v>
      </c>
      <c r="M77" s="9">
        <f>SUM($F$5:$F77) - SUM($H$5:$H77)</f>
        <v>0</v>
      </c>
      <c r="N77" s="9">
        <f>SUM($H$5:$H77) - SUM($I$5:$I77)</f>
        <v>0</v>
      </c>
      <c r="O77" s="38">
        <f>Tabela19[Faturamento] + SUM($C$5:$C77) - SUM($D$5:$D77)</f>
        <v>-681.30999999999972</v>
      </c>
    </row>
    <row r="78" spans="2:15">
      <c r="B78" s="31">
        <v>46180</v>
      </c>
      <c r="C78" s="28"/>
      <c r="D78" s="9"/>
      <c r="E78" s="44">
        <f>SUMIF(vendas[data], Tabela19[[#This Row],[Data]], vendas[Qtd.])</f>
        <v>0</v>
      </c>
      <c r="F78" s="37">
        <f>SUMIF(vendas[data], Tabela19[[#This Row],[Data]], vendas[Recebimento])</f>
        <v>0</v>
      </c>
      <c r="G78" s="23">
        <f>SUMIF(compras[Data], Tabela19[[#This Row],[Data]], compras[Valor])</f>
        <v>0</v>
      </c>
      <c r="H78" s="37">
        <f>SUMIF(vendas[data], Tabela19[[#This Row],[Data]], vendas[Lucro Bruto])</f>
        <v>0</v>
      </c>
      <c r="I78" s="37">
        <f>SUMIF(vendas[data], Tabela19[[#This Row],[Data]], vendas[Lucro Líquido])</f>
        <v>0</v>
      </c>
      <c r="J78" s="38">
        <f>SUM($F$5:$F78) - SUM($G$5:$G78)</f>
        <v>0</v>
      </c>
      <c r="K78" s="38">
        <f>SUM($H$5:$H78) - SUM($G$5:$G78)</f>
        <v>0</v>
      </c>
      <c r="L78" s="38">
        <f>SUM($I$5:$I78) - SUM($G$5:$G78)</f>
        <v>0</v>
      </c>
      <c r="M78" s="9">
        <f>SUM($F$5:$F78) - SUM($H$5:$H78)</f>
        <v>0</v>
      </c>
      <c r="N78" s="9">
        <f>SUM($H$5:$H78) - SUM($I$5:$I78)</f>
        <v>0</v>
      </c>
      <c r="O78" s="38">
        <f>Tabela19[Faturamento] + SUM($C$5:$C78) - SUM($D$5:$D78)</f>
        <v>-681.30999999999972</v>
      </c>
    </row>
    <row r="79" spans="2:15">
      <c r="B79" s="31">
        <v>46181</v>
      </c>
      <c r="C79" s="28"/>
      <c r="D79" s="9"/>
      <c r="E79" s="44">
        <f>SUMIF(vendas[data], Tabela19[[#This Row],[Data]], vendas[Qtd.])</f>
        <v>0</v>
      </c>
      <c r="F79" s="37">
        <f>SUMIF(vendas[data], Tabela19[[#This Row],[Data]], vendas[Recebimento])</f>
        <v>0</v>
      </c>
      <c r="G79" s="23">
        <f>SUMIF(compras[Data], Tabela19[[#This Row],[Data]], compras[Valor])</f>
        <v>0</v>
      </c>
      <c r="H79" s="37">
        <f>SUMIF(vendas[data], Tabela19[[#This Row],[Data]], vendas[Lucro Bruto])</f>
        <v>0</v>
      </c>
      <c r="I79" s="37">
        <f>SUMIF(vendas[data], Tabela19[[#This Row],[Data]], vendas[Lucro Líquido])</f>
        <v>0</v>
      </c>
      <c r="J79" s="38">
        <f>SUM($F$5:$F79) - SUM($G$5:$G79)</f>
        <v>0</v>
      </c>
      <c r="K79" s="38">
        <f>SUM($H$5:$H79) - SUM($G$5:$G79)</f>
        <v>0</v>
      </c>
      <c r="L79" s="38">
        <f>SUM($I$5:$I79) - SUM($G$5:$G79)</f>
        <v>0</v>
      </c>
      <c r="M79" s="9">
        <f>SUM($F$5:$F79) - SUM($H$5:$H79)</f>
        <v>0</v>
      </c>
      <c r="N79" s="9">
        <f>SUM($H$5:$H79) - SUM($I$5:$I79)</f>
        <v>0</v>
      </c>
      <c r="O79" s="38">
        <f>Tabela19[Faturamento] + SUM($C$5:$C79) - SUM($D$5:$D79)</f>
        <v>-681.30999999999972</v>
      </c>
    </row>
    <row r="80" spans="2:15">
      <c r="B80" s="31">
        <v>46182</v>
      </c>
      <c r="C80" s="28"/>
      <c r="D80" s="9"/>
      <c r="E80" s="44">
        <f>SUMIF(vendas[data], Tabela19[[#This Row],[Data]], vendas[Qtd.])</f>
        <v>0</v>
      </c>
      <c r="F80" s="37">
        <f>SUMIF(vendas[data], Tabela19[[#This Row],[Data]], vendas[Recebimento])</f>
        <v>0</v>
      </c>
      <c r="G80" s="23">
        <f>SUMIF(compras[Data], Tabela19[[#This Row],[Data]], compras[Valor])</f>
        <v>0</v>
      </c>
      <c r="H80" s="37">
        <f>SUMIF(vendas[data], Tabela19[[#This Row],[Data]], vendas[Lucro Bruto])</f>
        <v>0</v>
      </c>
      <c r="I80" s="37">
        <f>SUMIF(vendas[data], Tabela19[[#This Row],[Data]], vendas[Lucro Líquido])</f>
        <v>0</v>
      </c>
      <c r="J80" s="38">
        <f>SUM($F$5:$F80) - SUM($G$5:$G80)</f>
        <v>0</v>
      </c>
      <c r="K80" s="38">
        <f>SUM($H$5:$H80) - SUM($G$5:$G80)</f>
        <v>0</v>
      </c>
      <c r="L80" s="38">
        <f>SUM($I$5:$I80) - SUM($G$5:$G80)</f>
        <v>0</v>
      </c>
      <c r="M80" s="9">
        <f>SUM($F$5:$F80) - SUM($H$5:$H80)</f>
        <v>0</v>
      </c>
      <c r="N80" s="9">
        <f>SUM($H$5:$H80) - SUM($I$5:$I80)</f>
        <v>0</v>
      </c>
      <c r="O80" s="38">
        <f>Tabela19[Faturamento] + SUM($C$5:$C80) - SUM($D$5:$D80)</f>
        <v>-681.30999999999972</v>
      </c>
    </row>
    <row r="81" spans="2:15">
      <c r="B81" s="31">
        <v>46183</v>
      </c>
      <c r="C81" s="28"/>
      <c r="D81" s="9"/>
      <c r="E81" s="44">
        <f>SUMIF(vendas[data], Tabela19[[#This Row],[Data]], vendas[Qtd.])</f>
        <v>0</v>
      </c>
      <c r="F81" s="37">
        <f>SUMIF(vendas[data], Tabela19[[#This Row],[Data]], vendas[Recebimento])</f>
        <v>0</v>
      </c>
      <c r="G81" s="23">
        <f>SUMIF(compras[Data], Tabela19[[#This Row],[Data]], compras[Valor])</f>
        <v>0</v>
      </c>
      <c r="H81" s="37">
        <f>SUMIF(vendas[data], Tabela19[[#This Row],[Data]], vendas[Lucro Bruto])</f>
        <v>0</v>
      </c>
      <c r="I81" s="37">
        <f>SUMIF(vendas[data], Tabela19[[#This Row],[Data]], vendas[Lucro Líquido])</f>
        <v>0</v>
      </c>
      <c r="J81" s="38">
        <f>SUM($F$5:$F81) - SUM($G$5:$G81)</f>
        <v>0</v>
      </c>
      <c r="K81" s="38">
        <f>SUM($H$5:$H81) - SUM($G$5:$G81)</f>
        <v>0</v>
      </c>
      <c r="L81" s="38">
        <f>SUM($I$5:$I81) - SUM($G$5:$G81)</f>
        <v>0</v>
      </c>
      <c r="M81" s="9">
        <f>SUM($F$5:$F81) - SUM($H$5:$H81)</f>
        <v>0</v>
      </c>
      <c r="N81" s="9">
        <f>SUM($H$5:$H81) - SUM($I$5:$I81)</f>
        <v>0</v>
      </c>
      <c r="O81" s="38">
        <f>Tabela19[Faturamento] + SUM($C$5:$C81) - SUM($D$5:$D81)</f>
        <v>-681.30999999999972</v>
      </c>
    </row>
    <row r="82" spans="2:15">
      <c r="B82" s="31">
        <v>46184</v>
      </c>
      <c r="C82" s="28"/>
      <c r="D82" s="9"/>
      <c r="E82" s="44">
        <f>SUMIF(vendas[data], Tabela19[[#This Row],[Data]], vendas[Qtd.])</f>
        <v>0</v>
      </c>
      <c r="F82" s="37">
        <f>SUMIF(vendas[data], Tabela19[[#This Row],[Data]], vendas[Recebimento])</f>
        <v>0</v>
      </c>
      <c r="G82" s="23">
        <f>SUMIF(compras[Data], Tabela19[[#This Row],[Data]], compras[Valor])</f>
        <v>0</v>
      </c>
      <c r="H82" s="37">
        <f>SUMIF(vendas[data], Tabela19[[#This Row],[Data]], vendas[Lucro Bruto])</f>
        <v>0</v>
      </c>
      <c r="I82" s="37">
        <f>SUMIF(vendas[data], Tabela19[[#This Row],[Data]], vendas[Lucro Líquido])</f>
        <v>0</v>
      </c>
      <c r="J82" s="38">
        <f>SUM($F$5:$F82) - SUM($G$5:$G82)</f>
        <v>0</v>
      </c>
      <c r="K82" s="38">
        <f>SUM($H$5:$H82) - SUM($G$5:$G82)</f>
        <v>0</v>
      </c>
      <c r="L82" s="38">
        <f>SUM($I$5:$I82) - SUM($G$5:$G82)</f>
        <v>0</v>
      </c>
      <c r="M82" s="9">
        <f>SUM($F$5:$F82) - SUM($H$5:$H82)</f>
        <v>0</v>
      </c>
      <c r="N82" s="9">
        <f>SUM($H$5:$H82) - SUM($I$5:$I82)</f>
        <v>0</v>
      </c>
      <c r="O82" s="38">
        <f>Tabela19[Faturamento] + SUM($C$5:$C82) - SUM($D$5:$D82)</f>
        <v>-681.30999999999972</v>
      </c>
    </row>
    <row r="83" spans="2:15">
      <c r="B83" s="31">
        <v>46185</v>
      </c>
      <c r="C83" s="28"/>
      <c r="D83" s="9"/>
      <c r="E83" s="44">
        <f>SUMIF(vendas[data], Tabela19[[#This Row],[Data]], vendas[Qtd.])</f>
        <v>0</v>
      </c>
      <c r="F83" s="37">
        <f>SUMIF(vendas[data], Tabela19[[#This Row],[Data]], vendas[Recebimento])</f>
        <v>0</v>
      </c>
      <c r="G83" s="23">
        <f>SUMIF(compras[Data], Tabela19[[#This Row],[Data]], compras[Valor])</f>
        <v>0</v>
      </c>
      <c r="H83" s="37">
        <f>SUMIF(vendas[data], Tabela19[[#This Row],[Data]], vendas[Lucro Bruto])</f>
        <v>0</v>
      </c>
      <c r="I83" s="37">
        <f>SUMIF(vendas[data], Tabela19[[#This Row],[Data]], vendas[Lucro Líquido])</f>
        <v>0</v>
      </c>
      <c r="J83" s="38">
        <f>SUM($F$5:$F83) - SUM($G$5:$G83)</f>
        <v>0</v>
      </c>
      <c r="K83" s="38">
        <f>SUM($H$5:$H83) - SUM($G$5:$G83)</f>
        <v>0</v>
      </c>
      <c r="L83" s="38">
        <f>SUM($I$5:$I83) - SUM($G$5:$G83)</f>
        <v>0</v>
      </c>
      <c r="M83" s="9">
        <f>SUM($F$5:$F83) - SUM($H$5:$H83)</f>
        <v>0</v>
      </c>
      <c r="N83" s="9">
        <f>SUM($H$5:$H83) - SUM($I$5:$I83)</f>
        <v>0</v>
      </c>
      <c r="O83" s="38">
        <f>Tabela19[Faturamento] + SUM($C$5:$C83) - SUM($D$5:$D83)</f>
        <v>-681.30999999999972</v>
      </c>
    </row>
    <row r="84" spans="2:15">
      <c r="B84" s="31">
        <v>46186</v>
      </c>
      <c r="C84" s="28"/>
      <c r="D84" s="9"/>
      <c r="E84" s="44">
        <f>SUMIF(vendas[data], Tabela19[[#This Row],[Data]], vendas[Qtd.])</f>
        <v>0</v>
      </c>
      <c r="F84" s="37">
        <f>SUMIF(vendas[data], Tabela19[[#This Row],[Data]], vendas[Recebimento])</f>
        <v>0</v>
      </c>
      <c r="G84" s="23">
        <f>SUMIF(compras[Data], Tabela19[[#This Row],[Data]], compras[Valor])</f>
        <v>0</v>
      </c>
      <c r="H84" s="37">
        <f>SUMIF(vendas[data], Tabela19[[#This Row],[Data]], vendas[Lucro Bruto])</f>
        <v>0</v>
      </c>
      <c r="I84" s="37">
        <f>SUMIF(vendas[data], Tabela19[[#This Row],[Data]], vendas[Lucro Líquido])</f>
        <v>0</v>
      </c>
      <c r="J84" s="38">
        <f>SUM($F$5:$F84) - SUM($G$5:$G84)</f>
        <v>0</v>
      </c>
      <c r="K84" s="38">
        <f>SUM($H$5:$H84) - SUM($G$5:$G84)</f>
        <v>0</v>
      </c>
      <c r="L84" s="38">
        <f>SUM($I$5:$I84) - SUM($G$5:$G84)</f>
        <v>0</v>
      </c>
      <c r="M84" s="9">
        <f>SUM($F$5:$F84) - SUM($H$5:$H84)</f>
        <v>0</v>
      </c>
      <c r="N84" s="9">
        <f>SUM($H$5:$H84) - SUM($I$5:$I84)</f>
        <v>0</v>
      </c>
      <c r="O84" s="38">
        <f>Tabela19[Faturamento] + SUM($C$5:$C84) - SUM($D$5:$D84)</f>
        <v>-681.30999999999972</v>
      </c>
    </row>
    <row r="85" spans="2:15">
      <c r="B85" s="31">
        <v>46187</v>
      </c>
      <c r="C85" s="28"/>
      <c r="D85" s="9"/>
      <c r="E85" s="44">
        <f>SUMIF(vendas[data], Tabela19[[#This Row],[Data]], vendas[Qtd.])</f>
        <v>0</v>
      </c>
      <c r="F85" s="37">
        <f>SUMIF(vendas[data], Tabela19[[#This Row],[Data]], vendas[Recebimento])</f>
        <v>0</v>
      </c>
      <c r="G85" s="23">
        <f>SUMIF(compras[Data], Tabela19[[#This Row],[Data]], compras[Valor])</f>
        <v>0</v>
      </c>
      <c r="H85" s="37">
        <f>SUMIF(vendas[data], Tabela19[[#This Row],[Data]], vendas[Lucro Bruto])</f>
        <v>0</v>
      </c>
      <c r="I85" s="37">
        <f>SUMIF(vendas[data], Tabela19[[#This Row],[Data]], vendas[Lucro Líquido])</f>
        <v>0</v>
      </c>
      <c r="J85" s="38">
        <f>SUM($F$5:$F85) - SUM($G$5:$G85)</f>
        <v>0</v>
      </c>
      <c r="K85" s="38">
        <f>SUM($H$5:$H85) - SUM($G$5:$G85)</f>
        <v>0</v>
      </c>
      <c r="L85" s="38">
        <f>SUM($I$5:$I85) - SUM($G$5:$G85)</f>
        <v>0</v>
      </c>
      <c r="M85" s="9">
        <f>SUM($F$5:$F85) - SUM($H$5:$H85)</f>
        <v>0</v>
      </c>
      <c r="N85" s="9">
        <f>SUM($H$5:$H85) - SUM($I$5:$I85)</f>
        <v>0</v>
      </c>
      <c r="O85" s="38">
        <f>Tabela19[Faturamento] + SUM($C$5:$C85) - SUM($D$5:$D85)</f>
        <v>-681.30999999999972</v>
      </c>
    </row>
    <row r="86" spans="2:15">
      <c r="B86" s="31">
        <v>46188</v>
      </c>
      <c r="C86" s="28"/>
      <c r="D86" s="9"/>
      <c r="E86" s="44">
        <f>SUMIF(vendas[data], Tabela19[[#This Row],[Data]], vendas[Qtd.])</f>
        <v>0</v>
      </c>
      <c r="F86" s="37">
        <f>SUMIF(vendas[data], Tabela19[[#This Row],[Data]], vendas[Recebimento])</f>
        <v>0</v>
      </c>
      <c r="G86" s="23">
        <f>SUMIF(compras[Data], Tabela19[[#This Row],[Data]], compras[Valor])</f>
        <v>0</v>
      </c>
      <c r="H86" s="37">
        <f>SUMIF(vendas[data], Tabela19[[#This Row],[Data]], vendas[Lucro Bruto])</f>
        <v>0</v>
      </c>
      <c r="I86" s="37">
        <f>SUMIF(vendas[data], Tabela19[[#This Row],[Data]], vendas[Lucro Líquido])</f>
        <v>0</v>
      </c>
      <c r="J86" s="38">
        <f>SUM($F$5:$F86) - SUM($G$5:$G86)</f>
        <v>0</v>
      </c>
      <c r="K86" s="38">
        <f>SUM($H$5:$H86) - SUM($G$5:$G86)</f>
        <v>0</v>
      </c>
      <c r="L86" s="38">
        <f>SUM($I$5:$I86) - SUM($G$5:$G86)</f>
        <v>0</v>
      </c>
      <c r="M86" s="9">
        <f>SUM($F$5:$F86) - SUM($H$5:$H86)</f>
        <v>0</v>
      </c>
      <c r="N86" s="9">
        <f>SUM($H$5:$H86) - SUM($I$5:$I86)</f>
        <v>0</v>
      </c>
      <c r="O86" s="38">
        <f>Tabela19[Faturamento] + SUM($C$5:$C86) - SUM($D$5:$D86)</f>
        <v>-681.30999999999972</v>
      </c>
    </row>
    <row r="87" spans="2:15">
      <c r="B87" s="31">
        <v>46189</v>
      </c>
      <c r="C87" s="28"/>
      <c r="D87" s="9"/>
      <c r="E87" s="44">
        <f>SUMIF(vendas[data], Tabela19[[#This Row],[Data]], vendas[Qtd.])</f>
        <v>0</v>
      </c>
      <c r="F87" s="37">
        <f>SUMIF(vendas[data], Tabela19[[#This Row],[Data]], vendas[Recebimento])</f>
        <v>0</v>
      </c>
      <c r="G87" s="23">
        <f>SUMIF(compras[Data], Tabela19[[#This Row],[Data]], compras[Valor])</f>
        <v>0</v>
      </c>
      <c r="H87" s="37">
        <f>SUMIF(vendas[data], Tabela19[[#This Row],[Data]], vendas[Lucro Bruto])</f>
        <v>0</v>
      </c>
      <c r="I87" s="37">
        <f>SUMIF(vendas[data], Tabela19[[#This Row],[Data]], vendas[Lucro Líquido])</f>
        <v>0</v>
      </c>
      <c r="J87" s="38">
        <f>SUM($F$5:$F87) - SUM($G$5:$G87)</f>
        <v>0</v>
      </c>
      <c r="K87" s="38">
        <f>SUM($H$5:$H87) - SUM($G$5:$G87)</f>
        <v>0</v>
      </c>
      <c r="L87" s="38">
        <f>SUM($I$5:$I87) - SUM($G$5:$G87)</f>
        <v>0</v>
      </c>
      <c r="M87" s="9">
        <f>SUM($F$5:$F87) - SUM($H$5:$H87)</f>
        <v>0</v>
      </c>
      <c r="N87" s="9">
        <f>SUM($H$5:$H87) - SUM($I$5:$I87)</f>
        <v>0</v>
      </c>
      <c r="O87" s="38">
        <f>Tabela19[Faturamento] + SUM($C$5:$C87) - SUM($D$5:$D87)</f>
        <v>-681.30999999999972</v>
      </c>
    </row>
    <row r="88" spans="2:15">
      <c r="B88" s="31">
        <v>46190</v>
      </c>
      <c r="C88" s="28"/>
      <c r="D88" s="9"/>
      <c r="E88" s="44">
        <f>SUMIF(vendas[data], Tabela19[[#This Row],[Data]], vendas[Qtd.])</f>
        <v>0</v>
      </c>
      <c r="F88" s="37">
        <f>SUMIF(vendas[data], Tabela19[[#This Row],[Data]], vendas[Recebimento])</f>
        <v>0</v>
      </c>
      <c r="G88" s="23">
        <f>SUMIF(compras[Data], Tabela19[[#This Row],[Data]], compras[Valor])</f>
        <v>0</v>
      </c>
      <c r="H88" s="37">
        <f>SUMIF(vendas[data], Tabela19[[#This Row],[Data]], vendas[Lucro Bruto])</f>
        <v>0</v>
      </c>
      <c r="I88" s="37">
        <f>SUMIF(vendas[data], Tabela19[[#This Row],[Data]], vendas[Lucro Líquido])</f>
        <v>0</v>
      </c>
      <c r="J88" s="38">
        <f>SUM($F$5:$F88) - SUM($G$5:$G88)</f>
        <v>0</v>
      </c>
      <c r="K88" s="38">
        <f>SUM($H$5:$H88) - SUM($G$5:$G88)</f>
        <v>0</v>
      </c>
      <c r="L88" s="38">
        <f>SUM($I$5:$I88) - SUM($G$5:$G88)</f>
        <v>0</v>
      </c>
      <c r="M88" s="9">
        <f>SUM($F$5:$F88) - SUM($H$5:$H88)</f>
        <v>0</v>
      </c>
      <c r="N88" s="9">
        <f>SUM($H$5:$H88) - SUM($I$5:$I88)</f>
        <v>0</v>
      </c>
      <c r="O88" s="38">
        <f>Tabela19[Faturamento] + SUM($C$5:$C88) - SUM($D$5:$D88)</f>
        <v>-681.30999999999972</v>
      </c>
    </row>
    <row r="89" spans="2:15">
      <c r="B89" s="31">
        <v>46191</v>
      </c>
      <c r="C89" s="28"/>
      <c r="D89" s="9"/>
      <c r="E89" s="44">
        <f>SUMIF(vendas[data], Tabela19[[#This Row],[Data]], vendas[Qtd.])</f>
        <v>0</v>
      </c>
      <c r="F89" s="37">
        <f>SUMIF(vendas[data], Tabela19[[#This Row],[Data]], vendas[Recebimento])</f>
        <v>0</v>
      </c>
      <c r="G89" s="23">
        <f>SUMIF(compras[Data], Tabela19[[#This Row],[Data]], compras[Valor])</f>
        <v>0</v>
      </c>
      <c r="H89" s="37">
        <f>SUMIF(vendas[data], Tabela19[[#This Row],[Data]], vendas[Lucro Bruto])</f>
        <v>0</v>
      </c>
      <c r="I89" s="37">
        <f>SUMIF(vendas[data], Tabela19[[#This Row],[Data]], vendas[Lucro Líquido])</f>
        <v>0</v>
      </c>
      <c r="J89" s="38">
        <f>SUM($F$5:$F89) - SUM($G$5:$G89)</f>
        <v>0</v>
      </c>
      <c r="K89" s="38">
        <f>SUM($H$5:$H89) - SUM($G$5:$G89)</f>
        <v>0</v>
      </c>
      <c r="L89" s="38">
        <f>SUM($I$5:$I89) - SUM($G$5:$G89)</f>
        <v>0</v>
      </c>
      <c r="M89" s="9">
        <f>SUM($F$5:$F89) - SUM($H$5:$H89)</f>
        <v>0</v>
      </c>
      <c r="N89" s="9">
        <f>SUM($H$5:$H89) - SUM($I$5:$I89)</f>
        <v>0</v>
      </c>
      <c r="O89" s="38">
        <f>Tabela19[Faturamento] + SUM($C$5:$C89) - SUM($D$5:$D89)</f>
        <v>-681.30999999999972</v>
      </c>
    </row>
    <row r="90" spans="2:15">
      <c r="B90" s="31">
        <v>46192</v>
      </c>
      <c r="C90" s="28"/>
      <c r="D90" s="9"/>
      <c r="E90" s="44">
        <f>SUMIF(vendas[data], Tabela19[[#This Row],[Data]], vendas[Qtd.])</f>
        <v>0</v>
      </c>
      <c r="F90" s="37">
        <f>SUMIF(vendas[data], Tabela19[[#This Row],[Data]], vendas[Recebimento])</f>
        <v>0</v>
      </c>
      <c r="G90" s="23">
        <f>SUMIF(compras[Data], Tabela19[[#This Row],[Data]], compras[Valor])</f>
        <v>0</v>
      </c>
      <c r="H90" s="37">
        <f>SUMIF(vendas[data], Tabela19[[#This Row],[Data]], vendas[Lucro Bruto])</f>
        <v>0</v>
      </c>
      <c r="I90" s="37">
        <f>SUMIF(vendas[data], Tabela19[[#This Row],[Data]], vendas[Lucro Líquido])</f>
        <v>0</v>
      </c>
      <c r="J90" s="38">
        <f>SUM($F$5:$F90) - SUM($G$5:$G90)</f>
        <v>0</v>
      </c>
      <c r="K90" s="38">
        <f>SUM($H$5:$H90) - SUM($G$5:$G90)</f>
        <v>0</v>
      </c>
      <c r="L90" s="38">
        <f>SUM($I$5:$I90) - SUM($G$5:$G90)</f>
        <v>0</v>
      </c>
      <c r="M90" s="9">
        <f>SUM($F$5:$F90) - SUM($H$5:$H90)</f>
        <v>0</v>
      </c>
      <c r="N90" s="9">
        <f>SUM($H$5:$H90) - SUM($I$5:$I90)</f>
        <v>0</v>
      </c>
      <c r="O90" s="38">
        <f>Tabela19[Faturamento] + SUM($C$5:$C90) - SUM($D$5:$D90)</f>
        <v>-681.30999999999972</v>
      </c>
    </row>
    <row r="91" spans="2:15">
      <c r="B91" s="31">
        <v>46193</v>
      </c>
      <c r="C91" s="28"/>
      <c r="D91" s="9"/>
      <c r="E91" s="44">
        <f>SUMIF(vendas[data], Tabela19[[#This Row],[Data]], vendas[Qtd.])</f>
        <v>0</v>
      </c>
      <c r="F91" s="37">
        <f>SUMIF(vendas[data], Tabela19[[#This Row],[Data]], vendas[Recebimento])</f>
        <v>0</v>
      </c>
      <c r="G91" s="23">
        <f>SUMIF(compras[Data], Tabela19[[#This Row],[Data]], compras[Valor])</f>
        <v>0</v>
      </c>
      <c r="H91" s="37">
        <f>SUMIF(vendas[data], Tabela19[[#This Row],[Data]], vendas[Lucro Bruto])</f>
        <v>0</v>
      </c>
      <c r="I91" s="37">
        <f>SUMIF(vendas[data], Tabela19[[#This Row],[Data]], vendas[Lucro Líquido])</f>
        <v>0</v>
      </c>
      <c r="J91" s="38">
        <f>SUM($F$5:$F91) - SUM($G$5:$G91)</f>
        <v>0</v>
      </c>
      <c r="K91" s="38">
        <f>SUM($H$5:$H91) - SUM($G$5:$G91)</f>
        <v>0</v>
      </c>
      <c r="L91" s="38">
        <f>SUM($I$5:$I91) - SUM($G$5:$G91)</f>
        <v>0</v>
      </c>
      <c r="M91" s="9">
        <f>SUM($F$5:$F91) - SUM($H$5:$H91)</f>
        <v>0</v>
      </c>
      <c r="N91" s="9">
        <f>SUM($H$5:$H91) - SUM($I$5:$I91)</f>
        <v>0</v>
      </c>
      <c r="O91" s="38">
        <f>Tabela19[Faturamento] + SUM($C$5:$C91) - SUM($D$5:$D91)</f>
        <v>-681.30999999999972</v>
      </c>
    </row>
    <row r="92" spans="2:15">
      <c r="B92" s="31">
        <v>46194</v>
      </c>
      <c r="C92" s="28"/>
      <c r="D92" s="9"/>
      <c r="E92" s="44">
        <f>SUMIF(vendas[data], Tabela19[[#This Row],[Data]], vendas[Qtd.])</f>
        <v>0</v>
      </c>
      <c r="F92" s="37">
        <f>SUMIF(vendas[data], Tabela19[[#This Row],[Data]], vendas[Recebimento])</f>
        <v>0</v>
      </c>
      <c r="G92" s="23">
        <f>SUMIF(compras[Data], Tabela19[[#This Row],[Data]], compras[Valor])</f>
        <v>0</v>
      </c>
      <c r="H92" s="37">
        <f>SUMIF(vendas[data], Tabela19[[#This Row],[Data]], vendas[Lucro Bruto])</f>
        <v>0</v>
      </c>
      <c r="I92" s="37">
        <f>SUMIF(vendas[data], Tabela19[[#This Row],[Data]], vendas[Lucro Líquido])</f>
        <v>0</v>
      </c>
      <c r="J92" s="38">
        <f>SUM($F$5:$F92) - SUM($G$5:$G92)</f>
        <v>0</v>
      </c>
      <c r="K92" s="38">
        <f>SUM($H$5:$H92) - SUM($G$5:$G92)</f>
        <v>0</v>
      </c>
      <c r="L92" s="38">
        <f>SUM($I$5:$I92) - SUM($G$5:$G92)</f>
        <v>0</v>
      </c>
      <c r="M92" s="9">
        <f>SUM($F$5:$F92) - SUM($H$5:$H92)</f>
        <v>0</v>
      </c>
      <c r="N92" s="9">
        <f>SUM($H$5:$H92) - SUM($I$5:$I92)</f>
        <v>0</v>
      </c>
      <c r="O92" s="38">
        <f>Tabela19[Faturamento] + SUM($C$5:$C92) - SUM($D$5:$D92)</f>
        <v>-681.30999999999972</v>
      </c>
    </row>
    <row r="93" spans="2:15">
      <c r="B93" s="31">
        <v>46195</v>
      </c>
      <c r="C93" s="28"/>
      <c r="D93" s="9"/>
      <c r="E93" s="44">
        <f>SUMIF(vendas[data], Tabela19[[#This Row],[Data]], vendas[Qtd.])</f>
        <v>0</v>
      </c>
      <c r="F93" s="37">
        <f>SUMIF(vendas[data], Tabela19[[#This Row],[Data]], vendas[Recebimento])</f>
        <v>0</v>
      </c>
      <c r="G93" s="23">
        <f>SUMIF(compras[Data], Tabela19[[#This Row],[Data]], compras[Valor])</f>
        <v>0</v>
      </c>
      <c r="H93" s="37">
        <f>SUMIF(vendas[data], Tabela19[[#This Row],[Data]], vendas[Lucro Bruto])</f>
        <v>0</v>
      </c>
      <c r="I93" s="37">
        <f>SUMIF(vendas[data], Tabela19[[#This Row],[Data]], vendas[Lucro Líquido])</f>
        <v>0</v>
      </c>
      <c r="J93" s="38">
        <f>SUM($F$5:$F93) - SUM($G$5:$G93)</f>
        <v>0</v>
      </c>
      <c r="K93" s="38">
        <f>SUM($H$5:$H93) - SUM($G$5:$G93)</f>
        <v>0</v>
      </c>
      <c r="L93" s="38">
        <f>SUM($I$5:$I93) - SUM($G$5:$G93)</f>
        <v>0</v>
      </c>
      <c r="M93" s="9">
        <f>SUM($F$5:$F93) - SUM($H$5:$H93)</f>
        <v>0</v>
      </c>
      <c r="N93" s="9">
        <f>SUM($H$5:$H93) - SUM($I$5:$I93)</f>
        <v>0</v>
      </c>
      <c r="O93" s="38">
        <f>Tabela19[Faturamento] + SUM($C$5:$C93) - SUM($D$5:$D93)</f>
        <v>-681.30999999999972</v>
      </c>
    </row>
    <row r="94" spans="2:15">
      <c r="B94" s="31">
        <v>46196</v>
      </c>
      <c r="C94" s="28"/>
      <c r="D94" s="9"/>
      <c r="E94" s="44">
        <f>SUMIF(vendas[data], Tabela19[[#This Row],[Data]], vendas[Qtd.])</f>
        <v>0</v>
      </c>
      <c r="F94" s="37">
        <f>SUMIF(vendas[data], Tabela19[[#This Row],[Data]], vendas[Recebimento])</f>
        <v>0</v>
      </c>
      <c r="G94" s="23">
        <f>SUMIF(compras[Data], Tabela19[[#This Row],[Data]], compras[Valor])</f>
        <v>0</v>
      </c>
      <c r="H94" s="37">
        <f>SUMIF(vendas[data], Tabela19[[#This Row],[Data]], vendas[Lucro Bruto])</f>
        <v>0</v>
      </c>
      <c r="I94" s="37">
        <f>SUMIF(vendas[data], Tabela19[[#This Row],[Data]], vendas[Lucro Líquido])</f>
        <v>0</v>
      </c>
      <c r="J94" s="38">
        <f>SUM($F$5:$F94) - SUM($G$5:$G94)</f>
        <v>0</v>
      </c>
      <c r="K94" s="38">
        <f>SUM($H$5:$H94) - SUM($G$5:$G94)</f>
        <v>0</v>
      </c>
      <c r="L94" s="38">
        <f>SUM($I$5:$I94) - SUM($G$5:$G94)</f>
        <v>0</v>
      </c>
      <c r="M94" s="9">
        <f>SUM($F$5:$F94) - SUM($H$5:$H94)</f>
        <v>0</v>
      </c>
      <c r="N94" s="9">
        <f>SUM($H$5:$H94) - SUM($I$5:$I94)</f>
        <v>0</v>
      </c>
      <c r="O94" s="38">
        <f>Tabela19[Faturamento] + SUM($C$5:$C94) - SUM($D$5:$D94)</f>
        <v>-681.30999999999972</v>
      </c>
    </row>
    <row r="95" spans="2:15">
      <c r="B95" s="31">
        <v>46197</v>
      </c>
      <c r="C95" s="28"/>
      <c r="D95" s="9"/>
      <c r="E95" s="44">
        <f>SUMIF(vendas[data], Tabela19[[#This Row],[Data]], vendas[Qtd.])</f>
        <v>0</v>
      </c>
      <c r="F95" s="37">
        <f>SUMIF(vendas[data], Tabela19[[#This Row],[Data]], vendas[Recebimento])</f>
        <v>0</v>
      </c>
      <c r="G95" s="23">
        <f>SUMIF(compras[Data], Tabela19[[#This Row],[Data]], compras[Valor])</f>
        <v>0</v>
      </c>
      <c r="H95" s="37">
        <f>SUMIF(vendas[data], Tabela19[[#This Row],[Data]], vendas[Lucro Bruto])</f>
        <v>0</v>
      </c>
      <c r="I95" s="37">
        <f>SUMIF(vendas[data], Tabela19[[#This Row],[Data]], vendas[Lucro Líquido])</f>
        <v>0</v>
      </c>
      <c r="J95" s="38">
        <f>SUM($F$5:$F95) - SUM($G$5:$G95)</f>
        <v>0</v>
      </c>
      <c r="K95" s="38">
        <f>SUM($H$5:$H95) - SUM($G$5:$G95)</f>
        <v>0</v>
      </c>
      <c r="L95" s="38">
        <f>SUM($I$5:$I95) - SUM($G$5:$G95)</f>
        <v>0</v>
      </c>
      <c r="M95" s="9">
        <f>SUM($F$5:$F95) - SUM($H$5:$H95)</f>
        <v>0</v>
      </c>
      <c r="N95" s="9">
        <f>SUM($H$5:$H95) - SUM($I$5:$I95)</f>
        <v>0</v>
      </c>
      <c r="O95" s="38">
        <f>Tabela19[Faturamento] + SUM($C$5:$C95) - SUM($D$5:$D95)</f>
        <v>-681.30999999999972</v>
      </c>
    </row>
    <row r="96" spans="2:15">
      <c r="B96" s="31">
        <v>46198</v>
      </c>
      <c r="C96" s="28"/>
      <c r="D96" s="9"/>
      <c r="E96" s="44">
        <f>SUMIF(vendas[data], Tabela19[[#This Row],[Data]], vendas[Qtd.])</f>
        <v>0</v>
      </c>
      <c r="F96" s="37">
        <f>SUMIF(vendas[data], Tabela19[[#This Row],[Data]], vendas[Recebimento])</f>
        <v>0</v>
      </c>
      <c r="G96" s="23">
        <f>SUMIF(compras[Data], Tabela19[[#This Row],[Data]], compras[Valor])</f>
        <v>0</v>
      </c>
      <c r="H96" s="37">
        <f>SUMIF(vendas[data], Tabela19[[#This Row],[Data]], vendas[Lucro Bruto])</f>
        <v>0</v>
      </c>
      <c r="I96" s="37">
        <f>SUMIF(vendas[data], Tabela19[[#This Row],[Data]], vendas[Lucro Líquido])</f>
        <v>0</v>
      </c>
      <c r="J96" s="38">
        <f>SUM($F$5:$F96) - SUM($G$5:$G96)</f>
        <v>0</v>
      </c>
      <c r="K96" s="38">
        <f>SUM($H$5:$H96) - SUM($G$5:$G96)</f>
        <v>0</v>
      </c>
      <c r="L96" s="38">
        <f>SUM($I$5:$I96) - SUM($G$5:$G96)</f>
        <v>0</v>
      </c>
      <c r="M96" s="9">
        <f>SUM($F$5:$F96) - SUM($H$5:$H96)</f>
        <v>0</v>
      </c>
      <c r="N96" s="9">
        <f>SUM($H$5:$H96) - SUM($I$5:$I96)</f>
        <v>0</v>
      </c>
      <c r="O96" s="38">
        <f>Tabela19[Faturamento] + SUM($C$5:$C96) - SUM($D$5:$D96)</f>
        <v>-681.30999999999972</v>
      </c>
    </row>
    <row r="97" spans="2:15">
      <c r="B97" s="31">
        <v>46199</v>
      </c>
      <c r="C97" s="28"/>
      <c r="D97" s="9"/>
      <c r="E97" s="44">
        <f>SUMIF(vendas[data], Tabela19[[#This Row],[Data]], vendas[Qtd.])</f>
        <v>0</v>
      </c>
      <c r="F97" s="37">
        <f>SUMIF(vendas[data], Tabela19[[#This Row],[Data]], vendas[Recebimento])</f>
        <v>0</v>
      </c>
      <c r="G97" s="23">
        <f>SUMIF(compras[Data], Tabela19[[#This Row],[Data]], compras[Valor])</f>
        <v>0</v>
      </c>
      <c r="H97" s="37">
        <f>SUMIF(vendas[data], Tabela19[[#This Row],[Data]], vendas[Lucro Bruto])</f>
        <v>0</v>
      </c>
      <c r="I97" s="37">
        <f>SUMIF(vendas[data], Tabela19[[#This Row],[Data]], vendas[Lucro Líquido])</f>
        <v>0</v>
      </c>
      <c r="J97" s="38">
        <f>SUM($F$5:$F97) - SUM($G$5:$G97)</f>
        <v>0</v>
      </c>
      <c r="K97" s="38">
        <f>SUM($H$5:$H97) - SUM($G$5:$G97)</f>
        <v>0</v>
      </c>
      <c r="L97" s="38">
        <f>SUM($I$5:$I97) - SUM($G$5:$G97)</f>
        <v>0</v>
      </c>
      <c r="M97" s="9">
        <f>SUM($F$5:$F97) - SUM($H$5:$H97)</f>
        <v>0</v>
      </c>
      <c r="N97" s="9">
        <f>SUM($H$5:$H97) - SUM($I$5:$I97)</f>
        <v>0</v>
      </c>
      <c r="O97" s="38">
        <f>Tabela19[Faturamento] + SUM($C$5:$C97) - SUM($D$5:$D97)</f>
        <v>-681.30999999999972</v>
      </c>
    </row>
    <row r="98" spans="2:15">
      <c r="B98" s="31">
        <v>46200</v>
      </c>
      <c r="C98" s="28"/>
      <c r="D98" s="9"/>
      <c r="E98" s="44">
        <f>SUMIF(vendas[data], Tabela19[[#This Row],[Data]], vendas[Qtd.])</f>
        <v>0</v>
      </c>
      <c r="F98" s="37">
        <f>SUMIF(vendas[data], Tabela19[[#This Row],[Data]], vendas[Recebimento])</f>
        <v>0</v>
      </c>
      <c r="G98" s="23">
        <f>SUMIF(compras[Data], Tabela19[[#This Row],[Data]], compras[Valor])</f>
        <v>0</v>
      </c>
      <c r="H98" s="37">
        <f>SUMIF(vendas[data], Tabela19[[#This Row],[Data]], vendas[Lucro Bruto])</f>
        <v>0</v>
      </c>
      <c r="I98" s="37">
        <f>SUMIF(vendas[data], Tabela19[[#This Row],[Data]], vendas[Lucro Líquido])</f>
        <v>0</v>
      </c>
      <c r="J98" s="38">
        <f>SUM($F$5:$F98) - SUM($G$5:$G98)</f>
        <v>0</v>
      </c>
      <c r="K98" s="38">
        <f>SUM($H$5:$H98) - SUM($G$5:$G98)</f>
        <v>0</v>
      </c>
      <c r="L98" s="38">
        <f>SUM($I$5:$I98) - SUM($G$5:$G98)</f>
        <v>0</v>
      </c>
      <c r="M98" s="9">
        <f>SUM($F$5:$F98) - SUM($H$5:$H98)</f>
        <v>0</v>
      </c>
      <c r="N98" s="9">
        <f>SUM($H$5:$H98) - SUM($I$5:$I98)</f>
        <v>0</v>
      </c>
      <c r="O98" s="38">
        <f>Tabela19[Faturamento] + SUM($C$5:$C98) - SUM($D$5:$D98)</f>
        <v>-681.30999999999972</v>
      </c>
    </row>
    <row r="99" spans="2:15">
      <c r="B99" s="31">
        <v>46201</v>
      </c>
      <c r="C99" s="28"/>
      <c r="D99" s="9"/>
      <c r="E99" s="44">
        <f>SUMIF(vendas[data], Tabela19[[#This Row],[Data]], vendas[Qtd.])</f>
        <v>0</v>
      </c>
      <c r="F99" s="37">
        <f>SUMIF(vendas[data], Tabela19[[#This Row],[Data]], vendas[Recebimento])</f>
        <v>0</v>
      </c>
      <c r="G99" s="23">
        <f>SUMIF(compras[Data], Tabela19[[#This Row],[Data]], compras[Valor])</f>
        <v>0</v>
      </c>
      <c r="H99" s="37">
        <f>SUMIF(vendas[data], Tabela19[[#This Row],[Data]], vendas[Lucro Bruto])</f>
        <v>0</v>
      </c>
      <c r="I99" s="37">
        <f>SUMIF(vendas[data], Tabela19[[#This Row],[Data]], vendas[Lucro Líquido])</f>
        <v>0</v>
      </c>
      <c r="J99" s="38">
        <f>SUM($F$5:$F99) - SUM($G$5:$G99)</f>
        <v>0</v>
      </c>
      <c r="K99" s="38">
        <f>SUM($H$5:$H99) - SUM($G$5:$G99)</f>
        <v>0</v>
      </c>
      <c r="L99" s="38">
        <f>SUM($I$5:$I99) - SUM($G$5:$G99)</f>
        <v>0</v>
      </c>
      <c r="M99" s="9">
        <f>SUM($F$5:$F99) - SUM($H$5:$H99)</f>
        <v>0</v>
      </c>
      <c r="N99" s="9">
        <f>SUM($H$5:$H99) - SUM($I$5:$I99)</f>
        <v>0</v>
      </c>
      <c r="O99" s="38">
        <f>Tabela19[Faturamento] + SUM($C$5:$C99) - SUM($D$5:$D99)</f>
        <v>-681.30999999999972</v>
      </c>
    </row>
    <row r="100" spans="2:15">
      <c r="B100" s="31">
        <v>46202</v>
      </c>
      <c r="C100" s="28"/>
      <c r="D100" s="9"/>
      <c r="E100" s="44">
        <f>SUMIF(vendas[data], Tabela19[[#This Row],[Data]], vendas[Qtd.])</f>
        <v>0</v>
      </c>
      <c r="F100" s="37">
        <f>SUMIF(vendas[data], Tabela19[[#This Row],[Data]], vendas[Recebimento])</f>
        <v>0</v>
      </c>
      <c r="G100" s="23">
        <f>SUMIF(compras[Data], Tabela19[[#This Row],[Data]], compras[Valor])</f>
        <v>0</v>
      </c>
      <c r="H100" s="37">
        <f>SUMIF(vendas[data], Tabela19[[#This Row],[Data]], vendas[Lucro Bruto])</f>
        <v>0</v>
      </c>
      <c r="I100" s="37">
        <f>SUMIF(vendas[data], Tabela19[[#This Row],[Data]], vendas[Lucro Líquido])</f>
        <v>0</v>
      </c>
      <c r="J100" s="38">
        <f>SUM($F$5:$F100) - SUM($G$5:$G100)</f>
        <v>0</v>
      </c>
      <c r="K100" s="38">
        <f>SUM($H$5:$H100) - SUM($G$5:$G100)</f>
        <v>0</v>
      </c>
      <c r="L100" s="38">
        <f>SUM($I$5:$I100) - SUM($G$5:$G100)</f>
        <v>0</v>
      </c>
      <c r="M100" s="9">
        <f>SUM($F$5:$F100) - SUM($H$5:$H100)</f>
        <v>0</v>
      </c>
      <c r="N100" s="9">
        <f>SUM($H$5:$H100) - SUM($I$5:$I100)</f>
        <v>0</v>
      </c>
      <c r="O100" s="38">
        <f>Tabela19[Faturamento] + SUM($C$5:$C100) - SUM($D$5:$D100)</f>
        <v>-681.30999999999972</v>
      </c>
    </row>
    <row r="101" spans="2:15">
      <c r="B101" s="31">
        <v>46203</v>
      </c>
      <c r="C101" s="28"/>
      <c r="D101" s="9"/>
      <c r="E101" s="44">
        <f>SUMIF(vendas[data], Tabela19[[#This Row],[Data]], vendas[Qtd.])</f>
        <v>0</v>
      </c>
      <c r="F101" s="37">
        <f>SUMIF(vendas[data], Tabela19[[#This Row],[Data]], vendas[Recebimento])</f>
        <v>0</v>
      </c>
      <c r="G101" s="23">
        <f>SUMIF(compras[Data], Tabela19[[#This Row],[Data]], compras[Valor])</f>
        <v>0</v>
      </c>
      <c r="H101" s="37">
        <f>SUMIF(vendas[data], Tabela19[[#This Row],[Data]], vendas[Lucro Bruto])</f>
        <v>0</v>
      </c>
      <c r="I101" s="37">
        <f>SUMIF(vendas[data], Tabela19[[#This Row],[Data]], vendas[Lucro Líquido])</f>
        <v>0</v>
      </c>
      <c r="J101" s="38">
        <f>SUM($F$5:$F101) - SUM($G$5:$G101)</f>
        <v>0</v>
      </c>
      <c r="K101" s="38">
        <f>SUM($H$5:$H101) - SUM($G$5:$G101)</f>
        <v>0</v>
      </c>
      <c r="L101" s="38">
        <f>SUM($I$5:$I101) - SUM($G$5:$G101)</f>
        <v>0</v>
      </c>
      <c r="M101" s="9">
        <f>SUM($F$5:$F101) - SUM($H$5:$H101)</f>
        <v>0</v>
      </c>
      <c r="N101" s="9">
        <f>SUM($H$5:$H101) - SUM($I$5:$I101)</f>
        <v>0</v>
      </c>
      <c r="O101" s="38">
        <f>Tabela19[Faturamento] + SUM($C$5:$C101) - SUM($D$5:$D101)</f>
        <v>-681.30999999999972</v>
      </c>
    </row>
    <row r="102" spans="2:15">
      <c r="B102" s="31">
        <v>46204</v>
      </c>
      <c r="C102" s="28"/>
      <c r="D102" s="9"/>
      <c r="E102" s="44">
        <f>SUMIF(vendas[data], Tabela19[[#This Row],[Data]], vendas[Qtd.])</f>
        <v>0</v>
      </c>
      <c r="F102" s="37">
        <f>SUMIF(vendas[data], Tabela19[[#This Row],[Data]], vendas[Recebimento])</f>
        <v>0</v>
      </c>
      <c r="G102" s="23">
        <f>SUMIF(compras[Data], Tabela19[[#This Row],[Data]], compras[Valor])</f>
        <v>0</v>
      </c>
      <c r="H102" s="37">
        <f>SUMIF(vendas[data], Tabela19[[#This Row],[Data]], vendas[Lucro Bruto])</f>
        <v>0</v>
      </c>
      <c r="I102" s="37">
        <f>SUMIF(vendas[data], Tabela19[[#This Row],[Data]], vendas[Lucro Líquido])</f>
        <v>0</v>
      </c>
      <c r="J102" s="38">
        <f>SUM($F$5:$F102) - SUM($G$5:$G102)</f>
        <v>0</v>
      </c>
      <c r="K102" s="38">
        <f>SUM($H$5:$H102) - SUM($G$5:$G102)</f>
        <v>0</v>
      </c>
      <c r="L102" s="38">
        <f>SUM($I$5:$I102) - SUM($G$5:$G102)</f>
        <v>0</v>
      </c>
      <c r="M102" s="9">
        <f>SUM($F$5:$F102) - SUM($H$5:$H102)</f>
        <v>0</v>
      </c>
      <c r="N102" s="9">
        <f>SUM($H$5:$H102) - SUM($I$5:$I102)</f>
        <v>0</v>
      </c>
      <c r="O102" s="38">
        <f>Tabela19[Faturamento] + SUM($C$5:$C102) - SUM($D$5:$D102)</f>
        <v>-681.30999999999972</v>
      </c>
    </row>
    <row r="103" spans="2:15">
      <c r="B103" s="31">
        <v>46205</v>
      </c>
      <c r="C103" s="28"/>
      <c r="D103" s="9"/>
      <c r="E103" s="44">
        <f>SUMIF(vendas[data], Tabela19[[#This Row],[Data]], vendas[Qtd.])</f>
        <v>0</v>
      </c>
      <c r="F103" s="37">
        <f>SUMIF(vendas[data], Tabela19[[#This Row],[Data]], vendas[Recebimento])</f>
        <v>0</v>
      </c>
      <c r="G103" s="23">
        <f>SUMIF(compras[Data], Tabela19[[#This Row],[Data]], compras[Valor])</f>
        <v>0</v>
      </c>
      <c r="H103" s="37">
        <f>SUMIF(vendas[data], Tabela19[[#This Row],[Data]], vendas[Lucro Bruto])</f>
        <v>0</v>
      </c>
      <c r="I103" s="37">
        <f>SUMIF(vendas[data], Tabela19[[#This Row],[Data]], vendas[Lucro Líquido])</f>
        <v>0</v>
      </c>
      <c r="J103" s="38">
        <f>SUM($F$5:$F103) - SUM($G$5:$G103)</f>
        <v>0</v>
      </c>
      <c r="K103" s="38">
        <f>SUM($H$5:$H103) - SUM($G$5:$G103)</f>
        <v>0</v>
      </c>
      <c r="L103" s="38">
        <f>SUM($I$5:$I103) - SUM($G$5:$G103)</f>
        <v>0</v>
      </c>
      <c r="M103" s="9">
        <f>SUM($F$5:$F103) - SUM($H$5:$H103)</f>
        <v>0</v>
      </c>
      <c r="N103" s="9">
        <f>SUM($H$5:$H103) - SUM($I$5:$I103)</f>
        <v>0</v>
      </c>
      <c r="O103" s="38">
        <f>Tabela19[Faturamento] + SUM($C$5:$C103) - SUM($D$5:$D103)</f>
        <v>-681.30999999999972</v>
      </c>
    </row>
    <row r="104" spans="2:15">
      <c r="B104" s="31">
        <v>46206</v>
      </c>
      <c r="C104" s="28"/>
      <c r="D104" s="9"/>
      <c r="E104" s="44">
        <f>SUMIF(vendas[data], Tabela19[[#This Row],[Data]], vendas[Qtd.])</f>
        <v>0</v>
      </c>
      <c r="F104" s="37">
        <f>SUMIF(vendas[data], Tabela19[[#This Row],[Data]], vendas[Recebimento])</f>
        <v>0</v>
      </c>
      <c r="G104" s="23">
        <f>SUMIF(compras[Data], Tabela19[[#This Row],[Data]], compras[Valor])</f>
        <v>0</v>
      </c>
      <c r="H104" s="37">
        <f>SUMIF(vendas[data], Tabela19[[#This Row],[Data]], vendas[Lucro Bruto])</f>
        <v>0</v>
      </c>
      <c r="I104" s="37">
        <f>SUMIF(vendas[data], Tabela19[[#This Row],[Data]], vendas[Lucro Líquido])</f>
        <v>0</v>
      </c>
      <c r="J104" s="38">
        <f>SUM($F$5:$F104) - SUM($G$5:$G104)</f>
        <v>0</v>
      </c>
      <c r="K104" s="38">
        <f>SUM($H$5:$H104) - SUM($G$5:$G104)</f>
        <v>0</v>
      </c>
      <c r="L104" s="38">
        <f>SUM($I$5:$I104) - SUM($G$5:$G104)</f>
        <v>0</v>
      </c>
      <c r="M104" s="9">
        <f>SUM($F$5:$F104) - SUM($H$5:$H104)</f>
        <v>0</v>
      </c>
      <c r="N104" s="9">
        <f>SUM($H$5:$H104) - SUM($I$5:$I104)</f>
        <v>0</v>
      </c>
      <c r="O104" s="38">
        <f>Tabela19[Faturamento] + SUM($C$5:$C104) - SUM($D$5:$D104)</f>
        <v>-681.30999999999972</v>
      </c>
    </row>
    <row r="105" spans="2:15">
      <c r="B105" s="31">
        <v>46207</v>
      </c>
      <c r="C105" s="28"/>
      <c r="D105" s="9"/>
      <c r="E105" s="44">
        <f>SUMIF(vendas[data], Tabela19[[#This Row],[Data]], vendas[Qtd.])</f>
        <v>0</v>
      </c>
      <c r="F105" s="37">
        <f>SUMIF(vendas[data], Tabela19[[#This Row],[Data]], vendas[Recebimento])</f>
        <v>0</v>
      </c>
      <c r="G105" s="23">
        <f>SUMIF(compras[Data], Tabela19[[#This Row],[Data]], compras[Valor])</f>
        <v>0</v>
      </c>
      <c r="H105" s="37">
        <f>SUMIF(vendas[data], Tabela19[[#This Row],[Data]], vendas[Lucro Bruto])</f>
        <v>0</v>
      </c>
      <c r="I105" s="37">
        <f>SUMIF(vendas[data], Tabela19[[#This Row],[Data]], vendas[Lucro Líquido])</f>
        <v>0</v>
      </c>
      <c r="J105" s="38">
        <f>SUM($F$5:$F105) - SUM($G$5:$G105)</f>
        <v>0</v>
      </c>
      <c r="K105" s="38">
        <f>SUM($H$5:$H105) - SUM($G$5:$G105)</f>
        <v>0</v>
      </c>
      <c r="L105" s="38">
        <f>SUM($I$5:$I105) - SUM($G$5:$G105)</f>
        <v>0</v>
      </c>
      <c r="M105" s="9">
        <f>SUM($F$5:$F105) - SUM($H$5:$H105)</f>
        <v>0</v>
      </c>
      <c r="N105" s="9">
        <f>SUM($H$5:$H105) - SUM($I$5:$I105)</f>
        <v>0</v>
      </c>
      <c r="O105" s="38">
        <f>Tabela19[Faturamento] + SUM($C$5:$C105) - SUM($D$5:$D105)</f>
        <v>-681.30999999999972</v>
      </c>
    </row>
    <row r="106" spans="2:15">
      <c r="B106" s="31">
        <v>46208</v>
      </c>
      <c r="C106" s="28"/>
      <c r="D106" s="9"/>
      <c r="E106" s="44">
        <f>SUMIF(vendas[data], Tabela19[[#This Row],[Data]], vendas[Qtd.])</f>
        <v>0</v>
      </c>
      <c r="F106" s="37">
        <f>SUMIF(vendas[data], Tabela19[[#This Row],[Data]], vendas[Recebimento])</f>
        <v>0</v>
      </c>
      <c r="G106" s="23">
        <f>SUMIF(compras[Data], Tabela19[[#This Row],[Data]], compras[Valor])</f>
        <v>0</v>
      </c>
      <c r="H106" s="37">
        <f>SUMIF(vendas[data], Tabela19[[#This Row],[Data]], vendas[Lucro Bruto])</f>
        <v>0</v>
      </c>
      <c r="I106" s="37">
        <f>SUMIF(vendas[data], Tabela19[[#This Row],[Data]], vendas[Lucro Líquido])</f>
        <v>0</v>
      </c>
      <c r="J106" s="38">
        <f>SUM($F$5:$F106) - SUM($G$5:$G106)</f>
        <v>0</v>
      </c>
      <c r="K106" s="38">
        <f>SUM($H$5:$H106) - SUM($G$5:$G106)</f>
        <v>0</v>
      </c>
      <c r="L106" s="38">
        <f>SUM($I$5:$I106) - SUM($G$5:$G106)</f>
        <v>0</v>
      </c>
      <c r="M106" s="9">
        <f>SUM($F$5:$F106) - SUM($H$5:$H106)</f>
        <v>0</v>
      </c>
      <c r="N106" s="9">
        <f>SUM($H$5:$H106) - SUM($I$5:$I106)</f>
        <v>0</v>
      </c>
      <c r="O106" s="38">
        <f>Tabela19[Faturamento] + SUM($C$5:$C106) - SUM($D$5:$D106)</f>
        <v>-681.30999999999972</v>
      </c>
    </row>
    <row r="107" spans="2:15">
      <c r="B107" s="31">
        <v>46209</v>
      </c>
      <c r="C107" s="28"/>
      <c r="D107" s="9"/>
      <c r="E107" s="44">
        <f>SUMIF(vendas[data], Tabela19[[#This Row],[Data]], vendas[Qtd.])</f>
        <v>0</v>
      </c>
      <c r="F107" s="37">
        <f>SUMIF(vendas[data], Tabela19[[#This Row],[Data]], vendas[Recebimento])</f>
        <v>0</v>
      </c>
      <c r="G107" s="23">
        <f>SUMIF(compras[Data], Tabela19[[#This Row],[Data]], compras[Valor])</f>
        <v>0</v>
      </c>
      <c r="H107" s="37">
        <f>SUMIF(vendas[data], Tabela19[[#This Row],[Data]], vendas[Lucro Bruto])</f>
        <v>0</v>
      </c>
      <c r="I107" s="37">
        <f>SUMIF(vendas[data], Tabela19[[#This Row],[Data]], vendas[Lucro Líquido])</f>
        <v>0</v>
      </c>
      <c r="J107" s="38">
        <f>SUM($F$5:$F107) - SUM($G$5:$G107)</f>
        <v>0</v>
      </c>
      <c r="K107" s="38">
        <f>SUM($H$5:$H107) - SUM($G$5:$G107)</f>
        <v>0</v>
      </c>
      <c r="L107" s="38">
        <f>SUM($I$5:$I107) - SUM($G$5:$G107)</f>
        <v>0</v>
      </c>
      <c r="M107" s="9">
        <f>SUM($F$5:$F107) - SUM($H$5:$H107)</f>
        <v>0</v>
      </c>
      <c r="N107" s="9">
        <f>SUM($H$5:$H107) - SUM($I$5:$I107)</f>
        <v>0</v>
      </c>
      <c r="O107" s="38">
        <f>Tabela19[Faturamento] + SUM($C$5:$C107) - SUM($D$5:$D107)</f>
        <v>-681.30999999999972</v>
      </c>
    </row>
    <row r="108" spans="2:15">
      <c r="B108" s="31">
        <v>46210</v>
      </c>
      <c r="C108" s="28"/>
      <c r="D108" s="9"/>
      <c r="E108" s="44">
        <f>SUMIF(vendas[data], Tabela19[[#This Row],[Data]], vendas[Qtd.])</f>
        <v>0</v>
      </c>
      <c r="F108" s="37">
        <f>SUMIF(vendas[data], Tabela19[[#This Row],[Data]], vendas[Recebimento])</f>
        <v>0</v>
      </c>
      <c r="G108" s="23">
        <f>SUMIF(compras[Data], Tabela19[[#This Row],[Data]], compras[Valor])</f>
        <v>0</v>
      </c>
      <c r="H108" s="37">
        <f>SUMIF(vendas[data], Tabela19[[#This Row],[Data]], vendas[Lucro Bruto])</f>
        <v>0</v>
      </c>
      <c r="I108" s="37">
        <f>SUMIF(vendas[data], Tabela19[[#This Row],[Data]], vendas[Lucro Líquido])</f>
        <v>0</v>
      </c>
      <c r="J108" s="38">
        <f>SUM($F$5:$F108) - SUM($G$5:$G108)</f>
        <v>0</v>
      </c>
      <c r="K108" s="38">
        <f>SUM($H$5:$H108) - SUM($G$5:$G108)</f>
        <v>0</v>
      </c>
      <c r="L108" s="38">
        <f>SUM($I$5:$I108) - SUM($G$5:$G108)</f>
        <v>0</v>
      </c>
      <c r="M108" s="9">
        <f>SUM($F$5:$F108) - SUM($H$5:$H108)</f>
        <v>0</v>
      </c>
      <c r="N108" s="9">
        <f>SUM($H$5:$H108) - SUM($I$5:$I108)</f>
        <v>0</v>
      </c>
      <c r="O108" s="38">
        <f>Tabela19[Faturamento] + SUM($C$5:$C108) - SUM($D$5:$D108)</f>
        <v>-681.30999999999972</v>
      </c>
    </row>
    <row r="109" spans="2:15">
      <c r="B109" s="31">
        <v>46211</v>
      </c>
      <c r="C109" s="28"/>
      <c r="D109" s="9"/>
      <c r="E109" s="44">
        <f>SUMIF(vendas[data], Tabela19[[#This Row],[Data]], vendas[Qtd.])</f>
        <v>0</v>
      </c>
      <c r="F109" s="37">
        <f>SUMIF(vendas[data], Tabela19[[#This Row],[Data]], vendas[Recebimento])</f>
        <v>0</v>
      </c>
      <c r="G109" s="23">
        <f>SUMIF(compras[Data], Tabela19[[#This Row],[Data]], compras[Valor])</f>
        <v>0</v>
      </c>
      <c r="H109" s="37">
        <f>SUMIF(vendas[data], Tabela19[[#This Row],[Data]], vendas[Lucro Bruto])</f>
        <v>0</v>
      </c>
      <c r="I109" s="37">
        <f>SUMIF(vendas[data], Tabela19[[#This Row],[Data]], vendas[Lucro Líquido])</f>
        <v>0</v>
      </c>
      <c r="J109" s="38">
        <f>SUM($F$5:$F109) - SUM($G$5:$G109)</f>
        <v>0</v>
      </c>
      <c r="K109" s="38">
        <f>SUM($H$5:$H109) - SUM($G$5:$G109)</f>
        <v>0</v>
      </c>
      <c r="L109" s="38">
        <f>SUM($I$5:$I109) - SUM($G$5:$G109)</f>
        <v>0</v>
      </c>
      <c r="M109" s="9">
        <f>SUM($F$5:$F109) - SUM($H$5:$H109)</f>
        <v>0</v>
      </c>
      <c r="N109" s="9">
        <f>SUM($H$5:$H109) - SUM($I$5:$I109)</f>
        <v>0</v>
      </c>
      <c r="O109" s="38">
        <f>Tabela19[Faturamento] + SUM($C$5:$C109) - SUM($D$5:$D109)</f>
        <v>-681.30999999999972</v>
      </c>
    </row>
    <row r="110" spans="2:15">
      <c r="B110" s="31">
        <v>46212</v>
      </c>
      <c r="C110" s="28"/>
      <c r="D110" s="9"/>
      <c r="E110" s="44">
        <f>SUMIF(vendas[data], Tabela19[[#This Row],[Data]], vendas[Qtd.])</f>
        <v>0</v>
      </c>
      <c r="F110" s="37">
        <f>SUMIF(vendas[data], Tabela19[[#This Row],[Data]], vendas[Recebimento])</f>
        <v>0</v>
      </c>
      <c r="G110" s="23">
        <f>SUMIF(compras[Data], Tabela19[[#This Row],[Data]], compras[Valor])</f>
        <v>0</v>
      </c>
      <c r="H110" s="37">
        <f>SUMIF(vendas[data], Tabela19[[#This Row],[Data]], vendas[Lucro Bruto])</f>
        <v>0</v>
      </c>
      <c r="I110" s="37">
        <f>SUMIF(vendas[data], Tabela19[[#This Row],[Data]], vendas[Lucro Líquido])</f>
        <v>0</v>
      </c>
      <c r="J110" s="38">
        <f>SUM($F$5:$F110) - SUM($G$5:$G110)</f>
        <v>0</v>
      </c>
      <c r="K110" s="38">
        <f>SUM($H$5:$H110) - SUM($G$5:$G110)</f>
        <v>0</v>
      </c>
      <c r="L110" s="38">
        <f>SUM($I$5:$I110) - SUM($G$5:$G110)</f>
        <v>0</v>
      </c>
      <c r="M110" s="9">
        <f>SUM($F$5:$F110) - SUM($H$5:$H110)</f>
        <v>0</v>
      </c>
      <c r="N110" s="9">
        <f>SUM($H$5:$H110) - SUM($I$5:$I110)</f>
        <v>0</v>
      </c>
      <c r="O110" s="38">
        <f>Tabela19[Faturamento] + SUM($C$5:$C110) - SUM($D$5:$D110)</f>
        <v>-681.30999999999972</v>
      </c>
    </row>
    <row r="111" spans="2:15">
      <c r="B111" s="31">
        <v>46213</v>
      </c>
      <c r="C111" s="28"/>
      <c r="D111" s="9"/>
      <c r="E111" s="44">
        <f>SUMIF(vendas[data], Tabela19[[#This Row],[Data]], vendas[Qtd.])</f>
        <v>0</v>
      </c>
      <c r="F111" s="37">
        <f>SUMIF(vendas[data], Tabela19[[#This Row],[Data]], vendas[Recebimento])</f>
        <v>0</v>
      </c>
      <c r="G111" s="23">
        <f>SUMIF(compras[Data], Tabela19[[#This Row],[Data]], compras[Valor])</f>
        <v>0</v>
      </c>
      <c r="H111" s="37">
        <f>SUMIF(vendas[data], Tabela19[[#This Row],[Data]], vendas[Lucro Bruto])</f>
        <v>0</v>
      </c>
      <c r="I111" s="37">
        <f>SUMIF(vendas[data], Tabela19[[#This Row],[Data]], vendas[Lucro Líquido])</f>
        <v>0</v>
      </c>
      <c r="J111" s="38">
        <f>SUM($F$5:$F111) - SUM($G$5:$G111)</f>
        <v>0</v>
      </c>
      <c r="K111" s="38">
        <f>SUM($H$5:$H111) - SUM($G$5:$G111)</f>
        <v>0</v>
      </c>
      <c r="L111" s="38">
        <f>SUM($I$5:$I111) - SUM($G$5:$G111)</f>
        <v>0</v>
      </c>
      <c r="M111" s="9">
        <f>SUM($F$5:$F111) - SUM($H$5:$H111)</f>
        <v>0</v>
      </c>
      <c r="N111" s="9">
        <f>SUM($H$5:$H111) - SUM($I$5:$I111)</f>
        <v>0</v>
      </c>
      <c r="O111" s="38">
        <f>Tabela19[Faturamento] + SUM($C$5:$C111) - SUM($D$5:$D111)</f>
        <v>-681.30999999999972</v>
      </c>
    </row>
    <row r="112" spans="2:15">
      <c r="B112" s="31">
        <v>46214</v>
      </c>
      <c r="C112" s="28"/>
      <c r="D112" s="9"/>
      <c r="E112" s="44">
        <f>SUMIF(vendas[data], Tabela19[[#This Row],[Data]], vendas[Qtd.])</f>
        <v>0</v>
      </c>
      <c r="F112" s="37">
        <f>SUMIF(vendas[data], Tabela19[[#This Row],[Data]], vendas[Recebimento])</f>
        <v>0</v>
      </c>
      <c r="G112" s="23">
        <f>SUMIF(compras[Data], Tabela19[[#This Row],[Data]], compras[Valor])</f>
        <v>0</v>
      </c>
      <c r="H112" s="37">
        <f>SUMIF(vendas[data], Tabela19[[#This Row],[Data]], vendas[Lucro Bruto])</f>
        <v>0</v>
      </c>
      <c r="I112" s="37">
        <f>SUMIF(vendas[data], Tabela19[[#This Row],[Data]], vendas[Lucro Líquido])</f>
        <v>0</v>
      </c>
      <c r="J112" s="38">
        <f>SUM($F$5:$F112) - SUM($G$5:$G112)</f>
        <v>0</v>
      </c>
      <c r="K112" s="38">
        <f>SUM($H$5:$H112) - SUM($G$5:$G112)</f>
        <v>0</v>
      </c>
      <c r="L112" s="38">
        <f>SUM($I$5:$I112) - SUM($G$5:$G112)</f>
        <v>0</v>
      </c>
      <c r="M112" s="9">
        <f>SUM($F$5:$F112) - SUM($H$5:$H112)</f>
        <v>0</v>
      </c>
      <c r="N112" s="9">
        <f>SUM($H$5:$H112) - SUM($I$5:$I112)</f>
        <v>0</v>
      </c>
      <c r="O112" s="38">
        <f>Tabela19[Faturamento] + SUM($C$5:$C112) - SUM($D$5:$D112)</f>
        <v>-681.30999999999972</v>
      </c>
    </row>
    <row r="113" spans="2:15">
      <c r="B113" s="31">
        <v>46215</v>
      </c>
      <c r="C113" s="28"/>
      <c r="D113" s="9"/>
      <c r="E113" s="44">
        <f>SUMIF(vendas[data], Tabela19[[#This Row],[Data]], vendas[Qtd.])</f>
        <v>0</v>
      </c>
      <c r="F113" s="37">
        <f>SUMIF(vendas[data], Tabela19[[#This Row],[Data]], vendas[Recebimento])</f>
        <v>0</v>
      </c>
      <c r="G113" s="23">
        <f>SUMIF(compras[Data], Tabela19[[#This Row],[Data]], compras[Valor])</f>
        <v>0</v>
      </c>
      <c r="H113" s="37">
        <f>SUMIF(vendas[data], Tabela19[[#This Row],[Data]], vendas[Lucro Bruto])</f>
        <v>0</v>
      </c>
      <c r="I113" s="37">
        <f>SUMIF(vendas[data], Tabela19[[#This Row],[Data]], vendas[Lucro Líquido])</f>
        <v>0</v>
      </c>
      <c r="J113" s="38">
        <f>SUM($F$5:$F113) - SUM($G$5:$G113)</f>
        <v>0</v>
      </c>
      <c r="K113" s="38">
        <f>SUM($H$5:$H113) - SUM($G$5:$G113)</f>
        <v>0</v>
      </c>
      <c r="L113" s="38">
        <f>SUM($I$5:$I113) - SUM($G$5:$G113)</f>
        <v>0</v>
      </c>
      <c r="M113" s="9">
        <f>SUM($F$5:$F113) - SUM($H$5:$H113)</f>
        <v>0</v>
      </c>
      <c r="N113" s="9">
        <f>SUM($H$5:$H113) - SUM($I$5:$I113)</f>
        <v>0</v>
      </c>
      <c r="O113" s="38">
        <f>Tabela19[Faturamento] + SUM($C$5:$C113) - SUM($D$5:$D113)</f>
        <v>-681.30999999999972</v>
      </c>
    </row>
    <row r="114" spans="2:15">
      <c r="B114" s="31">
        <v>46216</v>
      </c>
      <c r="C114" s="28"/>
      <c r="D114" s="9"/>
      <c r="E114" s="44">
        <f>SUMIF(vendas[data], Tabela19[[#This Row],[Data]], vendas[Qtd.])</f>
        <v>0</v>
      </c>
      <c r="F114" s="37">
        <f>SUMIF(vendas[data], Tabela19[[#This Row],[Data]], vendas[Recebimento])</f>
        <v>0</v>
      </c>
      <c r="G114" s="23">
        <f>SUMIF(compras[Data], Tabela19[[#This Row],[Data]], compras[Valor])</f>
        <v>0</v>
      </c>
      <c r="H114" s="37">
        <f>SUMIF(vendas[data], Tabela19[[#This Row],[Data]], vendas[Lucro Bruto])</f>
        <v>0</v>
      </c>
      <c r="I114" s="37">
        <f>SUMIF(vendas[data], Tabela19[[#This Row],[Data]], vendas[Lucro Líquido])</f>
        <v>0</v>
      </c>
      <c r="J114" s="38">
        <f>SUM($F$5:$F114) - SUM($G$5:$G114)</f>
        <v>0</v>
      </c>
      <c r="K114" s="38">
        <f>SUM($H$5:$H114) - SUM($G$5:$G114)</f>
        <v>0</v>
      </c>
      <c r="L114" s="38">
        <f>SUM($I$5:$I114) - SUM($G$5:$G114)</f>
        <v>0</v>
      </c>
      <c r="M114" s="9">
        <f>SUM($F$5:$F114) - SUM($H$5:$H114)</f>
        <v>0</v>
      </c>
      <c r="N114" s="9">
        <f>SUM($H$5:$H114) - SUM($I$5:$I114)</f>
        <v>0</v>
      </c>
      <c r="O114" s="38">
        <f>Tabela19[Faturamento] + SUM($C$5:$C114) - SUM($D$5:$D114)</f>
        <v>-681.30999999999972</v>
      </c>
    </row>
    <row r="115" spans="2:15">
      <c r="B115" s="31">
        <v>46217</v>
      </c>
      <c r="C115" s="28"/>
      <c r="D115" s="9"/>
      <c r="E115" s="44">
        <f>SUMIF(vendas[data], Tabela19[[#This Row],[Data]], vendas[Qtd.])</f>
        <v>0</v>
      </c>
      <c r="F115" s="37">
        <f>SUMIF(vendas[data], Tabela19[[#This Row],[Data]], vendas[Recebimento])</f>
        <v>0</v>
      </c>
      <c r="G115" s="23">
        <f>SUMIF(compras[Data], Tabela19[[#This Row],[Data]], compras[Valor])</f>
        <v>0</v>
      </c>
      <c r="H115" s="37">
        <f>SUMIF(vendas[data], Tabela19[[#This Row],[Data]], vendas[Lucro Bruto])</f>
        <v>0</v>
      </c>
      <c r="I115" s="37">
        <f>SUMIF(vendas[data], Tabela19[[#This Row],[Data]], vendas[Lucro Líquido])</f>
        <v>0</v>
      </c>
      <c r="J115" s="38">
        <f>SUM($F$5:$F115) - SUM($G$5:$G115)</f>
        <v>0</v>
      </c>
      <c r="K115" s="38">
        <f>SUM($H$5:$H115) - SUM($G$5:$G115)</f>
        <v>0</v>
      </c>
      <c r="L115" s="38">
        <f>SUM($I$5:$I115) - SUM($G$5:$G115)</f>
        <v>0</v>
      </c>
      <c r="M115" s="9">
        <f>SUM($F$5:$F115) - SUM($H$5:$H115)</f>
        <v>0</v>
      </c>
      <c r="N115" s="9">
        <f>SUM($H$5:$H115) - SUM($I$5:$I115)</f>
        <v>0</v>
      </c>
      <c r="O115" s="38">
        <f>Tabela19[Faturamento] + SUM($C$5:$C115) - SUM($D$5:$D115)</f>
        <v>-681.30999999999972</v>
      </c>
    </row>
    <row r="116" spans="2:15">
      <c r="B116" s="31">
        <v>46218</v>
      </c>
      <c r="C116" s="28"/>
      <c r="D116" s="9"/>
      <c r="E116" s="44">
        <f>SUMIF(vendas[data], Tabela19[[#This Row],[Data]], vendas[Qtd.])</f>
        <v>0</v>
      </c>
      <c r="F116" s="37">
        <f>SUMIF(vendas[data], Tabela19[[#This Row],[Data]], vendas[Recebimento])</f>
        <v>0</v>
      </c>
      <c r="G116" s="23">
        <f>SUMIF(compras[Data], Tabela19[[#This Row],[Data]], compras[Valor])</f>
        <v>0</v>
      </c>
      <c r="H116" s="37">
        <f>SUMIF(vendas[data], Tabela19[[#This Row],[Data]], vendas[Lucro Bruto])</f>
        <v>0</v>
      </c>
      <c r="I116" s="37">
        <f>SUMIF(vendas[data], Tabela19[[#This Row],[Data]], vendas[Lucro Líquido])</f>
        <v>0</v>
      </c>
      <c r="J116" s="38">
        <f>SUM($F$5:$F116) - SUM($G$5:$G116)</f>
        <v>0</v>
      </c>
      <c r="K116" s="38">
        <f>SUM($H$5:$H116) - SUM($G$5:$G116)</f>
        <v>0</v>
      </c>
      <c r="L116" s="38">
        <f>SUM($I$5:$I116) - SUM($G$5:$G116)</f>
        <v>0</v>
      </c>
      <c r="M116" s="9">
        <f>SUM($F$5:$F116) - SUM($H$5:$H116)</f>
        <v>0</v>
      </c>
      <c r="N116" s="9">
        <f>SUM($H$5:$H116) - SUM($I$5:$I116)</f>
        <v>0</v>
      </c>
      <c r="O116" s="38">
        <f>Tabela19[Faturamento] + SUM($C$5:$C116) - SUM($D$5:$D116)</f>
        <v>-681.30999999999972</v>
      </c>
    </row>
    <row r="117" spans="2:15">
      <c r="B117" s="31">
        <v>46219</v>
      </c>
      <c r="C117" s="28"/>
      <c r="D117" s="9"/>
      <c r="E117" s="44">
        <f>SUMIF(vendas[data], Tabela19[[#This Row],[Data]], vendas[Qtd.])</f>
        <v>0</v>
      </c>
      <c r="F117" s="37">
        <f>SUMIF(vendas[data], Tabela19[[#This Row],[Data]], vendas[Recebimento])</f>
        <v>0</v>
      </c>
      <c r="G117" s="23">
        <f>SUMIF(compras[Data], Tabela19[[#This Row],[Data]], compras[Valor])</f>
        <v>0</v>
      </c>
      <c r="H117" s="37">
        <f>SUMIF(vendas[data], Tabela19[[#This Row],[Data]], vendas[Lucro Bruto])</f>
        <v>0</v>
      </c>
      <c r="I117" s="37">
        <f>SUMIF(vendas[data], Tabela19[[#This Row],[Data]], vendas[Lucro Líquido])</f>
        <v>0</v>
      </c>
      <c r="J117" s="38">
        <f>SUM($F$5:$F117) - SUM($G$5:$G117)</f>
        <v>0</v>
      </c>
      <c r="K117" s="38">
        <f>SUM($H$5:$H117) - SUM($G$5:$G117)</f>
        <v>0</v>
      </c>
      <c r="L117" s="38">
        <f>SUM($I$5:$I117) - SUM($G$5:$G117)</f>
        <v>0</v>
      </c>
      <c r="M117" s="9">
        <f>SUM($F$5:$F117) - SUM($H$5:$H117)</f>
        <v>0</v>
      </c>
      <c r="N117" s="9">
        <f>SUM($H$5:$H117) - SUM($I$5:$I117)</f>
        <v>0</v>
      </c>
      <c r="O117" s="38">
        <f>Tabela19[Faturamento] + SUM($C$5:$C117) - SUM($D$5:$D117)</f>
        <v>-681.30999999999972</v>
      </c>
    </row>
    <row r="118" spans="2:15">
      <c r="B118" s="31">
        <v>46220</v>
      </c>
      <c r="C118" s="28"/>
      <c r="D118" s="9"/>
      <c r="E118" s="44">
        <f>SUMIF(vendas[data], Tabela19[[#This Row],[Data]], vendas[Qtd.])</f>
        <v>0</v>
      </c>
      <c r="F118" s="37">
        <f>SUMIF(vendas[data], Tabela19[[#This Row],[Data]], vendas[Recebimento])</f>
        <v>0</v>
      </c>
      <c r="G118" s="23">
        <f>SUMIF(compras[Data], Tabela19[[#This Row],[Data]], compras[Valor])</f>
        <v>0</v>
      </c>
      <c r="H118" s="37">
        <f>SUMIF(vendas[data], Tabela19[[#This Row],[Data]], vendas[Lucro Bruto])</f>
        <v>0</v>
      </c>
      <c r="I118" s="37">
        <f>SUMIF(vendas[data], Tabela19[[#This Row],[Data]], vendas[Lucro Líquido])</f>
        <v>0</v>
      </c>
      <c r="J118" s="38">
        <f>SUM($F$5:$F118) - SUM($G$5:$G118)</f>
        <v>0</v>
      </c>
      <c r="K118" s="38">
        <f>SUM($H$5:$H118) - SUM($G$5:$G118)</f>
        <v>0</v>
      </c>
      <c r="L118" s="38">
        <f>SUM($I$5:$I118) - SUM($G$5:$G118)</f>
        <v>0</v>
      </c>
      <c r="M118" s="9">
        <f>SUM($F$5:$F118) - SUM($H$5:$H118)</f>
        <v>0</v>
      </c>
      <c r="N118" s="9">
        <f>SUM($H$5:$H118) - SUM($I$5:$I118)</f>
        <v>0</v>
      </c>
      <c r="O118" s="38">
        <f>Tabela19[Faturamento] + SUM($C$5:$C118) - SUM($D$5:$D118)</f>
        <v>-681.30999999999972</v>
      </c>
    </row>
    <row r="119" spans="2:15">
      <c r="B119" s="31">
        <v>46221</v>
      </c>
      <c r="C119" s="28"/>
      <c r="D119" s="9"/>
      <c r="E119" s="44">
        <f>SUMIF(vendas[data], Tabela19[[#This Row],[Data]], vendas[Qtd.])</f>
        <v>0</v>
      </c>
      <c r="F119" s="37">
        <f>SUMIF(vendas[data], Tabela19[[#This Row],[Data]], vendas[Recebimento])</f>
        <v>0</v>
      </c>
      <c r="G119" s="23">
        <f>SUMIF(compras[Data], Tabela19[[#This Row],[Data]], compras[Valor])</f>
        <v>0</v>
      </c>
      <c r="H119" s="37">
        <f>SUMIF(vendas[data], Tabela19[[#This Row],[Data]], vendas[Lucro Bruto])</f>
        <v>0</v>
      </c>
      <c r="I119" s="37">
        <f>SUMIF(vendas[data], Tabela19[[#This Row],[Data]], vendas[Lucro Líquido])</f>
        <v>0</v>
      </c>
      <c r="J119" s="38">
        <f>SUM($F$5:$F119) - SUM($G$5:$G119)</f>
        <v>0</v>
      </c>
      <c r="K119" s="38">
        <f>SUM($H$5:$H119) - SUM($G$5:$G119)</f>
        <v>0</v>
      </c>
      <c r="L119" s="38">
        <f>SUM($I$5:$I119) - SUM($G$5:$G119)</f>
        <v>0</v>
      </c>
      <c r="M119" s="9">
        <f>SUM($F$5:$F119) - SUM($H$5:$H119)</f>
        <v>0</v>
      </c>
      <c r="N119" s="9">
        <f>SUM($H$5:$H119) - SUM($I$5:$I119)</f>
        <v>0</v>
      </c>
      <c r="O119" s="38">
        <f>Tabela19[Faturamento] + SUM($C$5:$C119) - SUM($D$5:$D119)</f>
        <v>-681.30999999999972</v>
      </c>
    </row>
    <row r="120" spans="2:15">
      <c r="B120" s="31">
        <v>46222</v>
      </c>
      <c r="C120" s="28"/>
      <c r="D120" s="9"/>
      <c r="E120" s="44">
        <f>SUMIF(vendas[data], Tabela19[[#This Row],[Data]], vendas[Qtd.])</f>
        <v>0</v>
      </c>
      <c r="F120" s="37">
        <f>SUMIF(vendas[data], Tabela19[[#This Row],[Data]], vendas[Recebimento])</f>
        <v>0</v>
      </c>
      <c r="G120" s="23">
        <f>SUMIF(compras[Data], Tabela19[[#This Row],[Data]], compras[Valor])</f>
        <v>0</v>
      </c>
      <c r="H120" s="37">
        <f>SUMIF(vendas[data], Tabela19[[#This Row],[Data]], vendas[Lucro Bruto])</f>
        <v>0</v>
      </c>
      <c r="I120" s="37">
        <f>SUMIF(vendas[data], Tabela19[[#This Row],[Data]], vendas[Lucro Líquido])</f>
        <v>0</v>
      </c>
      <c r="J120" s="38">
        <f>SUM($F$5:$F120) - SUM($G$5:$G120)</f>
        <v>0</v>
      </c>
      <c r="K120" s="38">
        <f>SUM($H$5:$H120) - SUM($G$5:$G120)</f>
        <v>0</v>
      </c>
      <c r="L120" s="38">
        <f>SUM($I$5:$I120) - SUM($G$5:$G120)</f>
        <v>0</v>
      </c>
      <c r="M120" s="9">
        <f>SUM($F$5:$F120) - SUM($H$5:$H120)</f>
        <v>0</v>
      </c>
      <c r="N120" s="9">
        <f>SUM($H$5:$H120) - SUM($I$5:$I120)</f>
        <v>0</v>
      </c>
      <c r="O120" s="38">
        <f>Tabela19[Faturamento] + SUM($C$5:$C120) - SUM($D$5:$D120)</f>
        <v>-681.30999999999972</v>
      </c>
    </row>
    <row r="121" spans="2:15">
      <c r="B121" s="31">
        <v>46223</v>
      </c>
      <c r="C121" s="28"/>
      <c r="D121" s="9"/>
      <c r="E121" s="44">
        <f>SUMIF(vendas[data], Tabela19[[#This Row],[Data]], vendas[Qtd.])</f>
        <v>0</v>
      </c>
      <c r="F121" s="37">
        <f>SUMIF(vendas[data], Tabela19[[#This Row],[Data]], vendas[Recebimento])</f>
        <v>0</v>
      </c>
      <c r="G121" s="23">
        <f>SUMIF(compras[Data], Tabela19[[#This Row],[Data]], compras[Valor])</f>
        <v>0</v>
      </c>
      <c r="H121" s="37">
        <f>SUMIF(vendas[data], Tabela19[[#This Row],[Data]], vendas[Lucro Bruto])</f>
        <v>0</v>
      </c>
      <c r="I121" s="37">
        <f>SUMIF(vendas[data], Tabela19[[#This Row],[Data]], vendas[Lucro Líquido])</f>
        <v>0</v>
      </c>
      <c r="J121" s="38">
        <f>SUM($F$5:$F121) - SUM($G$5:$G121)</f>
        <v>0</v>
      </c>
      <c r="K121" s="38">
        <f>SUM($H$5:$H121) - SUM($G$5:$G121)</f>
        <v>0</v>
      </c>
      <c r="L121" s="38">
        <f>SUM($I$5:$I121) - SUM($G$5:$G121)</f>
        <v>0</v>
      </c>
      <c r="M121" s="9">
        <f>SUM($F$5:$F121) - SUM($H$5:$H121)</f>
        <v>0</v>
      </c>
      <c r="N121" s="9">
        <f>SUM($H$5:$H121) - SUM($I$5:$I121)</f>
        <v>0</v>
      </c>
      <c r="O121" s="38">
        <f>Tabela19[Faturamento] + SUM($C$5:$C121) - SUM($D$5:$D121)</f>
        <v>-681.30999999999972</v>
      </c>
    </row>
    <row r="122" spans="2:15">
      <c r="B122" s="31">
        <v>46224</v>
      </c>
      <c r="C122" s="28"/>
      <c r="D122" s="9"/>
      <c r="E122" s="44">
        <f>SUMIF(vendas[data], Tabela19[[#This Row],[Data]], vendas[Qtd.])</f>
        <v>0</v>
      </c>
      <c r="F122" s="37">
        <f>SUMIF(vendas[data], Tabela19[[#This Row],[Data]], vendas[Recebimento])</f>
        <v>0</v>
      </c>
      <c r="G122" s="23">
        <f>SUMIF(compras[Data], Tabela19[[#This Row],[Data]], compras[Valor])</f>
        <v>0</v>
      </c>
      <c r="H122" s="37">
        <f>SUMIF(vendas[data], Tabela19[[#This Row],[Data]], vendas[Lucro Bruto])</f>
        <v>0</v>
      </c>
      <c r="I122" s="37">
        <f>SUMIF(vendas[data], Tabela19[[#This Row],[Data]], vendas[Lucro Líquido])</f>
        <v>0</v>
      </c>
      <c r="J122" s="38">
        <f>SUM($F$5:$F122) - SUM($G$5:$G122)</f>
        <v>0</v>
      </c>
      <c r="K122" s="38">
        <f>SUM($H$5:$H122) - SUM($G$5:$G122)</f>
        <v>0</v>
      </c>
      <c r="L122" s="38">
        <f>SUM($I$5:$I122) - SUM($G$5:$G122)</f>
        <v>0</v>
      </c>
      <c r="M122" s="9">
        <f>SUM($F$5:$F122) - SUM($H$5:$H122)</f>
        <v>0</v>
      </c>
      <c r="N122" s="9">
        <f>SUM($H$5:$H122) - SUM($I$5:$I122)</f>
        <v>0</v>
      </c>
      <c r="O122" s="38">
        <f>Tabela19[Faturamento] + SUM($C$5:$C122) - SUM($D$5:$D122)</f>
        <v>-681.30999999999972</v>
      </c>
    </row>
    <row r="123" spans="2:15">
      <c r="B123" s="31">
        <v>46225</v>
      </c>
      <c r="C123" s="28"/>
      <c r="D123" s="9"/>
      <c r="E123" s="44">
        <f>SUMIF(vendas[data], Tabela19[[#This Row],[Data]], vendas[Qtd.])</f>
        <v>0</v>
      </c>
      <c r="F123" s="37">
        <f>SUMIF(vendas[data], Tabela19[[#This Row],[Data]], vendas[Recebimento])</f>
        <v>0</v>
      </c>
      <c r="G123" s="23">
        <f>SUMIF(compras[Data], Tabela19[[#This Row],[Data]], compras[Valor])</f>
        <v>0</v>
      </c>
      <c r="H123" s="37">
        <f>SUMIF(vendas[data], Tabela19[[#This Row],[Data]], vendas[Lucro Bruto])</f>
        <v>0</v>
      </c>
      <c r="I123" s="37">
        <f>SUMIF(vendas[data], Tabela19[[#This Row],[Data]], vendas[Lucro Líquido])</f>
        <v>0</v>
      </c>
      <c r="J123" s="38">
        <f>SUM($F$5:$F123) - SUM($G$5:$G123)</f>
        <v>0</v>
      </c>
      <c r="K123" s="38">
        <f>SUM($H$5:$H123) - SUM($G$5:$G123)</f>
        <v>0</v>
      </c>
      <c r="L123" s="38">
        <f>SUM($I$5:$I123) - SUM($G$5:$G123)</f>
        <v>0</v>
      </c>
      <c r="M123" s="9">
        <f>SUM($F$5:$F123) - SUM($H$5:$H123)</f>
        <v>0</v>
      </c>
      <c r="N123" s="9">
        <f>SUM($H$5:$H123) - SUM($I$5:$I123)</f>
        <v>0</v>
      </c>
      <c r="O123" s="38">
        <f>Tabela19[Faturamento] + SUM($C$5:$C123) - SUM($D$5:$D123)</f>
        <v>-681.30999999999972</v>
      </c>
    </row>
    <row r="124" spans="2:15">
      <c r="B124" s="31">
        <v>46226</v>
      </c>
      <c r="C124" s="28"/>
      <c r="D124" s="9"/>
      <c r="E124" s="44">
        <f>SUMIF(vendas[data], Tabela19[[#This Row],[Data]], vendas[Qtd.])</f>
        <v>0</v>
      </c>
      <c r="F124" s="37">
        <f>SUMIF(vendas[data], Tabela19[[#This Row],[Data]], vendas[Recebimento])</f>
        <v>0</v>
      </c>
      <c r="G124" s="23">
        <f>SUMIF(compras[Data], Tabela19[[#This Row],[Data]], compras[Valor])</f>
        <v>0</v>
      </c>
      <c r="H124" s="37">
        <f>SUMIF(vendas[data], Tabela19[[#This Row],[Data]], vendas[Lucro Bruto])</f>
        <v>0</v>
      </c>
      <c r="I124" s="37">
        <f>SUMIF(vendas[data], Tabela19[[#This Row],[Data]], vendas[Lucro Líquido])</f>
        <v>0</v>
      </c>
      <c r="J124" s="38">
        <f>SUM($F$5:$F124) - SUM($G$5:$G124)</f>
        <v>0</v>
      </c>
      <c r="K124" s="38">
        <f>SUM($H$5:$H124) - SUM($G$5:$G124)</f>
        <v>0</v>
      </c>
      <c r="L124" s="38">
        <f>SUM($I$5:$I124) - SUM($G$5:$G124)</f>
        <v>0</v>
      </c>
      <c r="M124" s="9">
        <f>SUM($F$5:$F124) - SUM($H$5:$H124)</f>
        <v>0</v>
      </c>
      <c r="N124" s="9">
        <f>SUM($H$5:$H124) - SUM($I$5:$I124)</f>
        <v>0</v>
      </c>
      <c r="O124" s="38">
        <f>Tabela19[Faturamento] + SUM($C$5:$C124) - SUM($D$5:$D124)</f>
        <v>-681.30999999999972</v>
      </c>
    </row>
    <row r="125" spans="2:15">
      <c r="B125" s="1" t="s">
        <v>11</v>
      </c>
      <c r="C125" s="28">
        <f>SUBTOTAL(109,Tabela19[Investimento])</f>
        <v>900</v>
      </c>
      <c r="D125" s="9">
        <f>SUBTOTAL(109,Tabela19[Pró-Labore])</f>
        <v>1581.3099999999997</v>
      </c>
      <c r="E125" s="9"/>
      <c r="F125" s="37">
        <f>SUBTOTAL(109,Tabela19[Entradas])</f>
        <v>0</v>
      </c>
      <c r="G125" s="23">
        <f>SUBTOTAL(109,Tabela19[Saídas])</f>
        <v>0</v>
      </c>
      <c r="H125" s="37">
        <f>SUBTOTAL(109,Tabela19[Bruto])</f>
        <v>0</v>
      </c>
      <c r="I125" s="37">
        <f>SUBTOTAL(109,Tabela19[Líquido])</f>
        <v>0</v>
      </c>
      <c r="J125" s="39">
        <f>SUBTOTAL(101,Tabela19[Faturamento])</f>
        <v>0</v>
      </c>
      <c r="K125" s="39">
        <f>SUBTOTAL(101,Tabela19[Lucro Bruto])</f>
        <v>0</v>
      </c>
      <c r="L125" s="39">
        <f>SUBTOTAL(101,Tabela19[Lucro Líquido])</f>
        <v>0</v>
      </c>
      <c r="M125" s="9">
        <f>SUBTOTAL(101,Tabela19[Reestoque])</f>
        <v>0</v>
      </c>
      <c r="N125" s="9">
        <f>SUBTOTAL(101,Tabela19[Custos Fixos])</f>
        <v>0</v>
      </c>
      <c r="O125" s="39">
        <f>SUBTOTAL(101,Tabela19[Caixa])</f>
        <v>-613.54391666666572</v>
      </c>
    </row>
  </sheetData>
  <phoneticPr fontId="12" type="noConversion"/>
  <conditionalFormatting sqref="J5:J124">
    <cfRule type="colorScale" priority="6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K5:K124">
    <cfRule type="colorScale" priority="5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L5:L124">
    <cfRule type="colorScale" priority="4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M5:M124">
    <cfRule type="colorScale" priority="2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N5:N124">
    <cfRule type="colorScale" priority="1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O5:O124">
    <cfRule type="colorScale" priority="3">
      <colorScale>
        <cfvo type="num" val="0"/>
        <cfvo type="percentile" val="50"/>
        <cfvo type="max"/>
        <color rgb="FFC00000"/>
        <color theme="7"/>
        <color theme="9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configurações</vt:lpstr>
      <vt:lpstr>ingredientes</vt:lpstr>
      <vt:lpstr>Embalamento</vt:lpstr>
      <vt:lpstr>Embalagens</vt:lpstr>
      <vt:lpstr>insumos</vt:lpstr>
      <vt:lpstr>Cadastro de Produtos</vt:lpstr>
      <vt:lpstr>Estoque</vt:lpstr>
      <vt:lpstr>Pedido</vt:lpstr>
      <vt:lpstr>Custos Fixos</vt:lpstr>
      <vt:lpstr>Despesas Variáveis</vt:lpstr>
      <vt:lpstr>Precificação</vt:lpstr>
      <vt:lpstr>simulação pós-vendas</vt:lpstr>
      <vt:lpstr>Compras</vt:lpstr>
      <vt:lpstr>Vendas</vt:lpstr>
      <vt:lpstr>Relatório</vt:lpstr>
      <vt:lpstr>Fluxo de 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Datwork</dc:creator>
  <cp:lastModifiedBy>Datwork</cp:lastModifiedBy>
  <dcterms:created xsi:type="dcterms:W3CDTF">2026-03-24T22:33:58Z</dcterms:created>
  <dcterms:modified xsi:type="dcterms:W3CDTF">2026-09-11T16:21:37Z</dcterms:modified>
</cp:coreProperties>
</file>